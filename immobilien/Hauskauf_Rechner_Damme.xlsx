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er" sheetId="1" state="visible" r:id="rId1"/>
    <sheet xmlns:r="http://schemas.openxmlformats.org/officeDocument/2006/relationships" name="Prognose" sheetId="2" state="visible" r:id="rId2"/>
    <sheet xmlns:r="http://schemas.openxmlformats.org/officeDocument/2006/relationships" name="Lebenserwar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;-#,##0 €;&quot;-&quot;"/>
    <numFmt numFmtId="165" formatCode="#,##0.00 €;-#,##0.00 €;&quot;-&quot;"/>
    <numFmt numFmtId="166" formatCode="0.0%;-0.0%;&quot;-&quot;"/>
    <numFmt numFmtId="167" formatCode="0.00%;-0.00%;&quot;-&quot;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C2430"/>
      <sz val="15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9E3B24"/>
      </patternFill>
    </fill>
    <fill>
      <patternFill patternType="solid">
        <fgColor rgb="00FFFF00"/>
      </patternFill>
    </fill>
    <fill>
      <patternFill patternType="solid">
        <fgColor rgb="00F5E6E0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164" fontId="4" fillId="0" borderId="0" applyAlignment="1" pivotButton="0" quotePrefix="0" xfId="0">
      <alignment horizontal="right"/>
    </xf>
    <xf numFmtId="1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0" fontId="7" fillId="0" borderId="0" pivotButton="0" quotePrefix="0" xfId="0"/>
    <xf numFmtId="164" fontId="7" fillId="0" borderId="1" applyAlignment="1" pivotButton="0" quotePrefix="0" xfId="0">
      <alignment horizontal="right"/>
    </xf>
    <xf numFmtId="167" fontId="5" fillId="3" borderId="0" pivotButton="0" quotePrefix="0" xfId="0"/>
    <xf numFmtId="0" fontId="7" fillId="4" borderId="0" pivotButton="0" quotePrefix="0" xfId="0"/>
    <xf numFmtId="164" fontId="8" fillId="4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7" fillId="4" borderId="0" applyAlignment="1" pivotButton="0" quotePrefix="0" xfId="0">
      <alignment horizontal="right"/>
    </xf>
    <xf numFmtId="0" fontId="0" fillId="4" borderId="0" pivotButton="0" quotePrefix="0" xfId="0"/>
    <xf numFmtId="0" fontId="4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9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7" fontId="6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164" fontId="7" fillId="0" borderId="0" pivotButton="0" quotePrefix="0" xfId="0"/>
    <xf numFmtId="0" fontId="5" fillId="0" borderId="0" pivotButton="0" quotePrefix="0" xfId="0"/>
    <xf numFmtId="168" fontId="5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2E7A4B"/>
      </font>
    </dxf>
    <dxf>
      <font>
        <name val="Arial"/>
        <b val="1"/>
        <color rgb="009A620F"/>
      </font>
    </dxf>
    <dxf>
      <font>
        <name val="Arial"/>
        <b val="1"/>
        <color rgb="00B3362F"/>
      </font>
    </dxf>
    <dxf>
      <fill>
        <patternFill patternType="solid">
          <fgColor rgb="00F8ED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Rechner</author>
  </authors>
  <commentList>
    <comment ref="H26" authorId="0" shapeId="0">
      <text>
        <t>Aus dem Blatt Prognose: Zinsen der ersten 12 Monatsraten. Etwas weniger als Darlehen × Zins, weil die Tilgung die Schuld schon im ersten Jahr senkt.</t>
      </text>
    </comment>
    <comment ref="H30" authorId="0" shapeId="0">
      <text>
        <t>Vereinfacht: (Miete − Ausfall − Instandhaltung − sonstige Kosten) − Zinsen − AfA, × Steuersatz. Negativ = Steuererstattung. Achtung: Eine Instandhaltungs-RÜCKLAGE ist steuerlich nicht absetzbar, nur tatsächliche Reparaturen. Hier wird angenommen, dass im Schnitt so viel repariert wird.</t>
      </text>
    </comment>
    <comment ref="H32" authorId="0" shapeId="0">
      <text>
        <t>Der Cashflow nach Steuern hängt linear vom Kaufpreis ab (Nebenkosten, Darlehen, Zinsen und AfA wachsen proportional mit). Dieser Wert ist der Preis, bei dem der Cashflow genau 0 € wäre – bei gleichem Eigenkapital. Gilt nur, solange ein Darlehen nötig ist.</t>
      </text>
    </comment>
    <comment ref="H38" authorId="0" shapeId="0">
      <text>
        <t>Fernere Lebenserwartung Frauen (vorsichtiger, längerer Wert), gerundet nach Sterbetafel Destatis 2021/23, linear interpoliert. Siehe Blatt Lebenserwartung.</t>
      </text>
    </comment>
    <comment ref="H39" authorId="0" shapeId="0">
      <text>
        <t>Wie viele Jahre der Verkaufserlös (verzinst mit dem Kapitalzins) für die Jahresmiete reicht. "unbegrenzt" = die Zinsen allein decken die Miete.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6" customWidth="1" min="4" max="4"/>
    <col width="50" customWidth="1" min="5" max="5"/>
    <col width="3" customWidth="1" min="6" max="6"/>
    <col width="38" customWidth="1" min="7" max="7"/>
    <col width="16" customWidth="1" min="8" max="8"/>
    <col width="34" customWidth="1" min="9" max="9"/>
  </cols>
  <sheetData>
    <row r="1">
      <c r="B1" s="1" t="inlineStr">
        <is>
          <t>Hauskauf-Rechner Damme – Verkauf mit Rückmietung</t>
        </is>
      </c>
    </row>
    <row r="2">
      <c r="B2" s="2" t="inlineStr">
        <is>
          <t>Nur die gelben Felder mit blauer Schrift ändern. Alle anderen Werte werden berechnet. Vorbelegt: Beispielhaus Damme (keine echten Objektdaten).</t>
        </is>
      </c>
    </row>
    <row r="5">
      <c r="B5" s="3" t="inlineStr">
        <is>
          <t>Objekt</t>
        </is>
      </c>
      <c r="C5" s="4" t="n"/>
      <c r="D5" s="4" t="n"/>
      <c r="E5" s="4" t="n"/>
      <c r="G5" s="3" t="inlineStr">
        <is>
          <t>Ergebnis</t>
        </is>
      </c>
      <c r="H5" s="4" t="n"/>
      <c r="I5" s="4" t="n"/>
    </row>
    <row r="6">
      <c r="B6" s="5" t="inlineStr">
        <is>
          <t>Kaufpreis</t>
        </is>
      </c>
      <c r="C6" s="6" t="n">
        <v>260000</v>
      </c>
      <c r="D6" s="2" t="inlineStr">
        <is>
          <t>€</t>
        </is>
      </c>
      <c r="E6" s="2" t="inlineStr">
        <is>
          <t>Verhandelter Kaufpreis</t>
        </is>
      </c>
      <c r="G6" s="5" t="inlineStr">
        <is>
          <t>Kaltmiete Verkäufer / Monat</t>
        </is>
      </c>
      <c r="H6" s="7">
        <f>$C$7*$C$8</f>
        <v/>
      </c>
    </row>
    <row r="7">
      <c r="B7" s="5" t="inlineStr">
        <is>
          <t>Wohnfläche Verkäufer</t>
        </is>
      </c>
      <c r="C7" s="8" t="n">
        <v>125</v>
      </c>
      <c r="D7" s="2" t="inlineStr">
        <is>
          <t>m²</t>
        </is>
      </c>
      <c r="E7" s="2" t="inlineStr">
        <is>
          <t>Fläche der Wohnung, in der der Verkäufer bleibt</t>
        </is>
      </c>
      <c r="G7" s="5" t="inlineStr">
        <is>
          <t>Kaltmiete gesamt / Monat</t>
        </is>
      </c>
      <c r="H7" s="7">
        <f>$H$6+$C$11</f>
        <v/>
      </c>
    </row>
    <row r="8">
      <c r="B8" s="5" t="inlineStr">
        <is>
          <t>Kaltmiete Verkäufer</t>
        </is>
      </c>
      <c r="C8" s="9" t="n">
        <v>7.5</v>
      </c>
      <c r="D8" s="2" t="inlineStr">
        <is>
          <t>€/m²</t>
        </is>
      </c>
      <c r="E8" s="2" t="inlineStr">
        <is>
          <t>Damme 2026: ca. 7,15–9,90 €/m² (Mietspiegel-Portale)</t>
        </is>
      </c>
      <c r="G8" s="5" t="inlineStr">
        <is>
          <t>Kaufnebenkosten</t>
        </is>
      </c>
      <c r="H8" s="7">
        <f>$C$6*($C$13+$C$14+$C$15)</f>
        <v/>
      </c>
    </row>
    <row r="9">
      <c r="B9" s="5" t="inlineStr">
        <is>
          <t>Sofort-Investitionen</t>
        </is>
      </c>
      <c r="C9" s="6" t="n">
        <v>0</v>
      </c>
      <c r="D9" s="2" t="inlineStr">
        <is>
          <t>€</t>
        </is>
      </c>
      <c r="E9" s="2" t="inlineStr">
        <is>
          <t>z. B. Heizung, GEG-Pflichten nach Eigentümerwechsel</t>
        </is>
      </c>
      <c r="G9" s="5" t="inlineStr">
        <is>
          <t>Gesamtinvestition</t>
        </is>
      </c>
      <c r="H9" s="7">
        <f>$C$6+$H$8+$C$9</f>
        <v/>
      </c>
    </row>
    <row r="10">
      <c r="B10" s="5" t="inlineStr">
        <is>
          <t>Einliegerwohnung Fläche</t>
        </is>
      </c>
      <c r="C10" s="8" t="n">
        <v>0</v>
      </c>
      <c r="D10" s="2" t="inlineStr">
        <is>
          <t>m²</t>
        </is>
      </c>
      <c r="E10" s="2" t="inlineStr">
        <is>
          <t>0, wenn keine vorhanden</t>
        </is>
      </c>
      <c r="G10" s="5" t="inlineStr">
        <is>
          <t>Darlehen</t>
        </is>
      </c>
      <c r="H10" s="7">
        <f>MAX(0,$H$9-$C$17)</f>
        <v/>
      </c>
    </row>
    <row r="11">
      <c r="B11" s="5" t="inlineStr">
        <is>
          <t>Einliegerwohnung Miete</t>
        </is>
      </c>
      <c r="C11" s="6" t="n">
        <v>0</v>
      </c>
      <c r="D11" s="2" t="inlineStr">
        <is>
          <t>€/Monat</t>
        </is>
      </c>
      <c r="E11" s="2" t="inlineStr">
        <is>
          <t>Kaltmiete der zweiten Einheit</t>
        </is>
      </c>
      <c r="G11" s="3" t="inlineStr">
        <is>
          <t>Monatliche Rechnung (Durchschnitt 1. Jahr)</t>
        </is>
      </c>
      <c r="H11" s="4" t="n"/>
      <c r="I11" s="4" t="n"/>
    </row>
    <row r="12">
      <c r="B12" s="3" t="inlineStr">
        <is>
          <t>Kaufnebenkosten</t>
        </is>
      </c>
      <c r="C12" s="4" t="n"/>
      <c r="D12" s="4" t="n"/>
      <c r="E12" s="4" t="n"/>
      <c r="G12" s="5" t="inlineStr">
        <is>
          <t>Kaltmiete</t>
        </is>
      </c>
      <c r="H12" s="7">
        <f>$H$7</f>
        <v/>
      </c>
    </row>
    <row r="13">
      <c r="B13" s="5" t="inlineStr">
        <is>
          <t>Grunderwerbsteuer</t>
        </is>
      </c>
      <c r="C13" s="10" t="n">
        <v>0.05</v>
      </c>
      <c r="D13" s="2" t="inlineStr">
        <is>
          <t>%</t>
        </is>
      </c>
      <c r="E13" s="2" t="inlineStr">
        <is>
          <t>Niedersachsen: 5 %</t>
        </is>
      </c>
      <c r="G13" s="5" t="inlineStr">
        <is>
          <t>Mietausfall-Reserve</t>
        </is>
      </c>
      <c r="H13" s="7">
        <f>-$H$7*$C$25</f>
        <v/>
      </c>
    </row>
    <row r="14">
      <c r="B14" s="5" t="inlineStr">
        <is>
          <t>Notar &amp; Grundbuch</t>
        </is>
      </c>
      <c r="C14" s="10" t="n">
        <v>0.02</v>
      </c>
      <c r="D14" s="2" t="inlineStr">
        <is>
          <t>%</t>
        </is>
      </c>
      <c r="E14" s="2" t="inlineStr">
        <is>
          <t>üblich ca. 1,5–2 %</t>
        </is>
      </c>
      <c r="G14" s="5" t="inlineStr">
        <is>
          <t>Kreditrate (Zins + Tilgung)</t>
        </is>
      </c>
      <c r="H14" s="7">
        <f>-$H$10*($C$18+$C$19)/12</f>
        <v/>
      </c>
    </row>
    <row r="15">
      <c r="B15" s="5" t="inlineStr">
        <is>
          <t>Makler</t>
        </is>
      </c>
      <c r="C15" s="10" t="n">
        <v>0</v>
      </c>
      <c r="D15" s="2" t="inlineStr">
        <is>
          <t>%</t>
        </is>
      </c>
      <c r="E15" s="2" t="inlineStr">
        <is>
          <t>bei Direktkauf 0 %</t>
        </is>
      </c>
      <c r="G15" s="5" t="inlineStr">
        <is>
          <t>Instandhaltungsrücklage</t>
        </is>
      </c>
      <c r="H15" s="7">
        <f>-($C$7+$C$10)*$C$23/12</f>
        <v/>
      </c>
    </row>
    <row r="16">
      <c r="B16" s="3" t="inlineStr">
        <is>
          <t>Finanzierung</t>
        </is>
      </c>
      <c r="C16" s="4" t="n"/>
      <c r="D16" s="4" t="n"/>
      <c r="E16" s="4" t="n"/>
      <c r="G16" s="5" t="inlineStr">
        <is>
          <t>Nicht umlagefähige Kosten</t>
        </is>
      </c>
      <c r="H16" s="7">
        <f>-$C$24</f>
        <v/>
      </c>
    </row>
    <row r="17">
      <c r="B17" s="5" t="inlineStr">
        <is>
          <t>Eigenkapital</t>
        </is>
      </c>
      <c r="C17" s="6" t="n">
        <v>55000</v>
      </c>
      <c r="D17" s="2" t="inlineStr">
        <is>
          <t>€</t>
        </is>
      </c>
      <c r="E17" s="2" t="inlineStr">
        <is>
          <t>eingesetztes Eigenkapital</t>
        </is>
      </c>
      <c r="G17" s="11" t="inlineStr">
        <is>
          <t>Cashflow vor Steuern</t>
        </is>
      </c>
      <c r="H17" s="12">
        <f>SUM($H$12:$H$16)</f>
        <v/>
      </c>
    </row>
    <row r="18">
      <c r="B18" s="5" t="inlineStr">
        <is>
          <t>Sollzins</t>
        </is>
      </c>
      <c r="C18" s="13" t="n">
        <v>0.038</v>
      </c>
      <c r="D18" s="2" t="inlineStr">
        <is>
          <t>% p. a.</t>
        </is>
      </c>
      <c r="E18" s="2" t="inlineStr">
        <is>
          <t>Annahme – aktuelles Bankangebot eintragen</t>
        </is>
      </c>
      <c r="G18" s="5" t="inlineStr">
        <is>
          <t>Steuereffekt (+ = Ersparnis)</t>
        </is>
      </c>
      <c r="H18" s="7">
        <f>-$H$30/12</f>
        <v/>
      </c>
    </row>
    <row r="19">
      <c r="B19" s="5" t="inlineStr">
        <is>
          <t>Anfängliche Tilgung</t>
        </is>
      </c>
      <c r="C19" s="13" t="n">
        <v>0.02</v>
      </c>
      <c r="D19" s="2" t="inlineStr">
        <is>
          <t>% p. a.</t>
        </is>
      </c>
      <c r="E19" s="2" t="inlineStr">
        <is>
          <t>Rate = Darlehen × (Zins + Tilgung) ÷ 12</t>
        </is>
      </c>
      <c r="G19" s="14" t="inlineStr">
        <is>
          <t>CASHFLOW NACH STEUERN / MONAT</t>
        </is>
      </c>
      <c r="H19" s="15">
        <f>$H$17+$H$18</f>
        <v/>
      </c>
      <c r="I19" s="14">
        <f>IF($H$19&gt;=0,"Trägt sich selbst",IF($H$19&gt;=-150,"Leichter Zuschuss nötig","Deutlicher Zuschuss nötig"))</f>
        <v/>
      </c>
    </row>
    <row r="20">
      <c r="B20" s="5" t="inlineStr">
        <is>
          <t>Zinsbindung</t>
        </is>
      </c>
      <c r="C20" s="8" t="n">
        <v>10</v>
      </c>
      <c r="D20" s="2" t="inlineStr">
        <is>
          <t>Jahre</t>
        </is>
      </c>
      <c r="E20" s="2" t="inlineStr">
        <is>
          <t>danach gilt der Anschlusszins (Rate bleibt gleich)</t>
        </is>
      </c>
      <c r="G20" s="3" t="inlineStr">
        <is>
          <t>Kennzahlen</t>
        </is>
      </c>
      <c r="H20" s="4" t="n"/>
      <c r="I20" s="4" t="n"/>
    </row>
    <row r="21">
      <c r="B21" s="5" t="inlineStr">
        <is>
          <t>Anschlusszins</t>
        </is>
      </c>
      <c r="C21" s="13" t="n">
        <v>0.045</v>
      </c>
      <c r="D21" s="2" t="inlineStr">
        <is>
          <t>% p. a.</t>
        </is>
      </c>
      <c r="E21" s="2" t="inlineStr">
        <is>
          <t>Annahme für die Zeit nach der Zinsbindung</t>
        </is>
      </c>
      <c r="G21" s="5" t="inlineStr">
        <is>
          <t>Kaufpreisfaktor</t>
        </is>
      </c>
      <c r="H21" s="16">
        <f>IFERROR($C$6/($H$7*12),0)</f>
        <v/>
      </c>
      <c r="I21" s="11">
        <f>IF($H$21&lt;=18,"günstig",IF($H$21&lt;=22,"mittel","teuer"))</f>
        <v/>
      </c>
    </row>
    <row r="22">
      <c r="B22" s="3" t="inlineStr">
        <is>
          <t>Laufende Kosten &amp; Steuer</t>
        </is>
      </c>
      <c r="C22" s="4" t="n"/>
      <c r="D22" s="4" t="n"/>
      <c r="E22" s="4" t="n"/>
      <c r="G22" s="5" t="inlineStr">
        <is>
          <t>Bruttomietrendite</t>
        </is>
      </c>
      <c r="H22" s="17">
        <f>IFERROR($H$7*12/$C$6,0)</f>
        <v/>
      </c>
    </row>
    <row r="23">
      <c r="B23" s="5" t="inlineStr">
        <is>
          <t>Instandhaltung</t>
        </is>
      </c>
      <c r="C23" s="9" t="n">
        <v>14</v>
      </c>
      <c r="D23" s="2" t="inlineStr">
        <is>
          <t>€/m² · Jahr</t>
        </is>
      </c>
      <c r="E23" s="2" t="inlineStr">
        <is>
          <t>Altbau: ca. 12–18 €</t>
        </is>
      </c>
      <c r="G23" s="5" t="inlineStr">
        <is>
          <t>Nettomietrendite</t>
        </is>
      </c>
      <c r="H23" s="17">
        <f>IFERROR(($H$12+$H$13+$H$15+$H$16)*12/$H$9,0)</f>
        <v/>
      </c>
    </row>
    <row r="24">
      <c r="B24" s="5" t="inlineStr">
        <is>
          <t>Nicht umlagefähige Kosten</t>
        </is>
      </c>
      <c r="C24" s="6" t="n">
        <v>20</v>
      </c>
      <c r="D24" s="2" t="inlineStr">
        <is>
          <t>€/Monat</t>
        </is>
      </c>
      <c r="E24" s="2" t="inlineStr">
        <is>
          <t>Verwaltung, Bankgebühren</t>
        </is>
      </c>
      <c r="G24" s="5" t="inlineStr">
        <is>
          <t>Eigenkapitalrendite (CF + Tilgung)</t>
        </is>
      </c>
      <c r="H24" s="18">
        <f>IFERROR(($H$19*12+$H$27)/$C$17,0)</f>
        <v/>
      </c>
    </row>
    <row r="25">
      <c r="B25" s="5" t="inlineStr">
        <is>
          <t>Mietausfall-Reserve</t>
        </is>
      </c>
      <c r="C25" s="10" t="n">
        <v>0.02</v>
      </c>
      <c r="D25" s="2" t="inlineStr">
        <is>
          <t>% der Miete</t>
        </is>
      </c>
      <c r="E25" s="2" t="inlineStr"/>
      <c r="G25" s="3" t="inlineStr">
        <is>
          <t>Steuer 1. Jahr (vereinfacht)</t>
        </is>
      </c>
      <c r="H25" s="4" t="n"/>
      <c r="I25" s="4" t="n"/>
    </row>
    <row r="26">
      <c r="B26" s="5" t="inlineStr">
        <is>
          <t>Gebäudeanteil</t>
        </is>
      </c>
      <c r="C26" s="10" t="n">
        <v>0.7</v>
      </c>
      <c r="D26" s="2" t="inlineStr">
        <is>
          <t>% vom Kaufpreis</t>
        </is>
      </c>
      <c r="E26" s="2" t="inlineStr">
        <is>
          <t>Rest = Grundstück (nicht abschreibbar)</t>
        </is>
      </c>
      <c r="G26" s="5" t="inlineStr">
        <is>
          <t>Zinsen Jahr 1 (monatsgenau)</t>
        </is>
      </c>
      <c r="H26" s="19">
        <f>-Prognose!$G$5</f>
        <v/>
      </c>
    </row>
    <row r="27">
      <c r="B27" s="5" t="inlineStr">
        <is>
          <t>AfA-Satz</t>
        </is>
      </c>
      <c r="C27" s="10" t="n">
        <v>0.02</v>
      </c>
      <c r="D27" s="2" t="inlineStr">
        <is>
          <t>% p. a.</t>
        </is>
      </c>
      <c r="E27" s="2" t="inlineStr">
        <is>
          <t>Baujahr 1925–2022: 2 %, vor 1925: 2,5 %</t>
        </is>
      </c>
      <c r="G27" s="5" t="inlineStr">
        <is>
          <t>Tilgung Jahr 1 (Vermögensaufbau)</t>
        </is>
      </c>
      <c r="H27" s="19">
        <f>-Prognose!$H$5</f>
        <v/>
      </c>
    </row>
    <row r="28">
      <c r="B28" s="5" t="inlineStr">
        <is>
          <t>Persönlicher Steuersatz</t>
        </is>
      </c>
      <c r="C28" s="10" t="n">
        <v>0.3</v>
      </c>
      <c r="D28" s="2" t="inlineStr">
        <is>
          <t>%</t>
        </is>
      </c>
      <c r="E28" s="2" t="inlineStr">
        <is>
          <t>Grenzsteuersatz</t>
        </is>
      </c>
      <c r="G28" s="5" t="inlineStr">
        <is>
          <t>AfA pro Jahr</t>
        </is>
      </c>
      <c r="H28" s="7">
        <f>(($C$6+$H$8)*$C$26+$C$9)*$C$27</f>
        <v/>
      </c>
    </row>
    <row r="29">
      <c r="B29" s="3" t="inlineStr">
        <is>
          <t>Entwicklung (für Blatt Prognose)</t>
        </is>
      </c>
      <c r="C29" s="4" t="n"/>
      <c r="D29" s="4" t="n"/>
      <c r="E29" s="4" t="n"/>
      <c r="G29" s="5" t="inlineStr">
        <is>
          <t>Steuerliches Ergebnis</t>
        </is>
      </c>
      <c r="H29" s="7">
        <f>($H$12+$H$13+$H$15+$H$16)*12-$H$26-$H$28</f>
        <v/>
      </c>
    </row>
    <row r="30">
      <c r="B30" s="5" t="inlineStr">
        <is>
          <t>Mietsteigerung</t>
        </is>
      </c>
      <c r="C30" s="10" t="n">
        <v>0.015</v>
      </c>
      <c r="D30" s="2" t="inlineStr">
        <is>
          <t>% p. a.</t>
        </is>
      </c>
      <c r="E30" s="2" t="inlineStr">
        <is>
          <t>Annahme; gesetzlich begrenzt (Mietspiegel, Kappungsgrenze)</t>
        </is>
      </c>
      <c r="G30" s="5" t="inlineStr">
        <is>
          <t>Steuer (+ zahlen / − Erstattung)</t>
        </is>
      </c>
      <c r="H30" s="7">
        <f>$H$29*$C$28</f>
        <v/>
      </c>
    </row>
    <row r="31">
      <c r="B31" s="5" t="inlineStr">
        <is>
          <t>Kostensteigerung</t>
        </is>
      </c>
      <c r="C31" s="10" t="n">
        <v>0.02</v>
      </c>
      <c r="D31" s="2" t="inlineStr">
        <is>
          <t>% p. a.</t>
        </is>
      </c>
      <c r="E31" s="2" t="inlineStr">
        <is>
          <t>Annahme für Instandhaltung und sonstige Kosten</t>
        </is>
      </c>
      <c r="G31" s="3" t="inlineStr">
        <is>
          <t>Maximaler Kaufpreis</t>
        </is>
      </c>
      <c r="H31" s="4" t="n"/>
      <c r="I31" s="4" t="n"/>
    </row>
    <row r="32">
      <c r="B32" s="5" t="inlineStr">
        <is>
          <t>Wertsteigerung</t>
        </is>
      </c>
      <c r="C32" s="10" t="n">
        <v>0.015</v>
      </c>
      <c r="D32" s="2" t="inlineStr">
        <is>
          <t>% p. a.</t>
        </is>
      </c>
      <c r="E32" s="2" t="inlineStr">
        <is>
          <t>Annahme</t>
        </is>
      </c>
      <c r="G32" s="14" t="inlineStr">
        <is>
          <t>Max. Kaufpreis für Cashflow ≥ 0</t>
        </is>
      </c>
      <c r="H32" s="20">
        <f>IF($H$10&lt;=0,"–",MAX(0,$C$6+$H$19/((1+$C$13+$C$14+$C$15)/12*(($C$18+$C$19)-$C$28*($H$26/$H$10+$C$26*$C$27)))))</f>
        <v/>
      </c>
      <c r="I32" s="21" t="n"/>
    </row>
    <row r="33">
      <c r="B33" s="3" t="inlineStr">
        <is>
          <t>Verkäufer</t>
        </is>
      </c>
      <c r="C33" s="4" t="n"/>
      <c r="D33" s="4" t="n"/>
      <c r="E33" s="4" t="n"/>
      <c r="G33" s="5" t="inlineStr">
        <is>
          <t>Nötiger Abschlag</t>
        </is>
      </c>
      <c r="H33" s="7">
        <f>IF(ISNUMBER($H$32),MAX(0,$C$6-$H$32),0)</f>
        <v/>
      </c>
    </row>
    <row r="34">
      <c r="B34" s="5" t="inlineStr">
        <is>
          <t>Alter (jüngste Person)</t>
        </is>
      </c>
      <c r="C34" s="8" t="n">
        <v>75</v>
      </c>
      <c r="D34" s="2" t="inlineStr">
        <is>
          <t>Jahre</t>
        </is>
      </c>
      <c r="E34" s="2" t="inlineStr">
        <is>
          <t>Tabelle reicht von 60 bis 95 Jahre</t>
        </is>
      </c>
      <c r="G34" s="5" t="inlineStr">
        <is>
          <t>Nötiger Abschlag in %</t>
        </is>
      </c>
      <c r="H34" s="18">
        <f>IFERROR($H$33/$C$6,0)</f>
        <v/>
      </c>
      <c r="I34" s="11">
        <f>IF($H$10&lt;=0,"kein Darlehen – Formel nicht nötig",IF($H$33=0,"Preis passt","so viel Abschlag bräuchtest du"))</f>
        <v/>
      </c>
    </row>
    <row r="35">
      <c r="B35" s="5" t="inlineStr">
        <is>
          <t>Zins auf sein Kapital</t>
        </is>
      </c>
      <c r="C35" s="10" t="n">
        <v>0.025</v>
      </c>
      <c r="D35" s="2" t="inlineStr">
        <is>
          <t>% p. a.</t>
        </is>
      </c>
      <c r="E35" s="2" t="inlineStr">
        <is>
          <t>Tagesgeld/Anleihen, Annahme</t>
        </is>
      </c>
      <c r="G35" s="3" t="inlineStr">
        <is>
          <t>Sicht des Verkäufers</t>
        </is>
      </c>
      <c r="H35" s="4" t="n"/>
      <c r="I35" s="4" t="n"/>
    </row>
    <row r="36">
      <c r="G36" s="5" t="inlineStr">
        <is>
          <t>Erlös für den Verkäufer</t>
        </is>
      </c>
      <c r="H36" s="7">
        <f>$C$6</f>
        <v/>
      </c>
    </row>
    <row r="37">
      <c r="G37" s="5" t="inlineStr">
        <is>
          <t>Seine Miete pro Jahr</t>
        </is>
      </c>
      <c r="H37" s="7">
        <f>$H$6*12</f>
        <v/>
      </c>
    </row>
    <row r="38">
      <c r="G38" s="5" t="inlineStr">
        <is>
          <t>Lebenserwartung (Jahre, ca.)</t>
        </is>
      </c>
      <c r="H38" s="16">
        <f>INDEX(Lebenserwartung!$B$4:$B$11,MATCH(MIN(MAX($C$34,60),94.99),Lebenserwartung!$A$4:$A$11,1))+(INDEX(Lebenserwartung!$B$4:$B$11,MATCH(MIN(MAX($C$34,60),94.99),Lebenserwartung!$A$4:$A$11,1)+1)-INDEX(Lebenserwartung!$B$4:$B$11,MATCH(MIN(MAX($C$34,60),94.99),Lebenserwartung!$A$4:$A$11,1)))*(MIN(MAX($C$34,60),95)-INDEX(Lebenserwartung!$A$4:$A$11,MATCH(MIN(MAX($C$34,60),94.99),Lebenserwartung!$A$4:$A$11,1)))/(INDEX(Lebenserwartung!$A$4:$A$11,MATCH(MIN(MAX($C$34,60),94.99),Lebenserwartung!$A$4:$A$11,1)+1)-INDEX(Lebenserwartung!$A$4:$A$11,MATCH(MIN(MAX($C$34,60),94.99),Lebenserwartung!$A$4:$A$11,1)))</f>
        <v/>
      </c>
    </row>
    <row r="39">
      <c r="G39" s="5" t="inlineStr">
        <is>
          <t>So lange reicht das Geld (Jahre)</t>
        </is>
      </c>
      <c r="H39" s="16">
        <f>IF($H$37&lt;=0,"unbegrenzt",IF($C$35=0,$C$6/$H$37,IF($H$37&lt;=$C$6*$C$35,"unbegrenzt",NPER($C$35,-$H$37,$C$6))))</f>
        <v/>
      </c>
    </row>
    <row r="40">
      <c r="G40" s="5" t="inlineStr">
        <is>
          <t>Rest nach Lebenserwartung</t>
        </is>
      </c>
      <c r="H40" s="7">
        <f>MAX(0,IF($C$35=0,$C$6-$H$37*$H$38,FV($C$35,$H$38,$H$37,-$C$6)))</f>
        <v/>
      </c>
    </row>
    <row r="41">
      <c r="G41" s="5" t="inlineStr">
        <is>
          <t>Bewertung</t>
        </is>
      </c>
      <c r="H41" s="22">
        <f>IF($H$39="unbegrenzt","Geld reicht sicher",IF($H$39&gt;$H$38,"Geld reicht sicher","Achtung: Geld reicht voraussichtlich nicht"))</f>
        <v/>
      </c>
    </row>
    <row r="43">
      <c r="G43" s="3" t="inlineStr">
        <is>
          <t>Kontrolle</t>
        </is>
      </c>
      <c r="H43" s="4" t="n"/>
      <c r="I43" s="4" t="n"/>
    </row>
    <row r="44">
      <c r="G44" s="5" t="inlineStr">
        <is>
          <t>Prognose Jahr 1 = Monatswert × 12</t>
        </is>
      </c>
      <c r="H44" s="23">
        <f>IF(ABS(Prognose!$M$5-$H$19*12)&lt;1,"OK","Abweichung prüfen")</f>
        <v/>
      </c>
    </row>
    <row r="45">
      <c r="G45" s="5" t="inlineStr">
        <is>
          <t>Restschuld nie negativ</t>
        </is>
      </c>
      <c r="H45" s="23">
        <f>IF(MIN(Prognose!$I$5:$I$34)&gt;=-0.01,"OK","Abweichung prüfen")</f>
        <v/>
      </c>
    </row>
    <row r="46">
      <c r="G46" s="5" t="inlineStr">
        <is>
          <t>Tilgung Jahr 1 + Zinsen = 12 Raten</t>
        </is>
      </c>
      <c r="H46" s="23">
        <f>IF($H$10=0,"OK",IF(ABS($H$26+$H$27+$H$14*12)&lt;1,"OK","Abweichung prüfen"))</f>
        <v/>
      </c>
    </row>
    <row r="49">
      <c r="B49" s="11" t="inlineStr">
        <is>
          <t>Hinweise:</t>
        </is>
      </c>
    </row>
    <row r="50">
      <c r="B50" s="2" t="inlineStr">
        <is>
          <t>• Kreditrate = Annuität: Darlehen × (Sollzins + anfängliche Tilgung) ÷ 12, monatlich gezahlt. Nach der Zinsbindung bleibt die Rate gleich, es gilt der Anschlusszins.</t>
        </is>
      </c>
    </row>
    <row r="51">
      <c r="B51" s="2" t="inlineStr">
        <is>
          <t>• Zinsen und Tilgung werden im Blatt Prognose monatsgenau je Jahr berechnet.</t>
        </is>
      </c>
    </row>
    <row r="52">
      <c r="B52" s="2" t="inlineStr">
        <is>
          <t>• AfA = Gebäudeanteil von Kaufpreis + Nebenkosten × AfA-Satz; Sofort-Investitionen vereinfacht mit abgeschrieben (anschaffungsnahe Herstellungskosten).</t>
        </is>
      </c>
    </row>
    <row r="53">
      <c r="B53" s="2" t="inlineStr">
        <is>
          <t>• Kaufpreisfaktor: bis 18 günstig, 18–22 mittel, über 22 teuer (Faustregel ländliche Lage).</t>
        </is>
      </c>
    </row>
    <row r="54">
      <c r="B54" s="2" t="inlineStr">
        <is>
          <t>• Keine Steuer- oder Rechtsberatung. Vor dem Kauf Bank, Steuerberater und Notar einbeziehen.</t>
        </is>
      </c>
    </row>
  </sheetData>
  <conditionalFormatting sqref="H19:I19">
    <cfRule type="expression" priority="1" dxfId="0">
      <formula>$H$19&gt;=0</formula>
    </cfRule>
    <cfRule type="expression" priority="2" dxfId="1">
      <formula>AND($H$19&lt;0,$H$19&gt;=-150)</formula>
    </cfRule>
    <cfRule type="expression" priority="3" dxfId="2">
      <formula>$H$19&lt;-150</formula>
    </cfRule>
  </conditionalFormatting>
  <conditionalFormatting sqref="I21">
    <cfRule type="expression" priority="4" dxfId="0">
      <formula>$H$21&lt;=18</formula>
    </cfRule>
    <cfRule type="expression" priority="5" dxfId="1">
      <formula>AND($H$21&gt;18,$H$21&lt;=22)</formula>
    </cfRule>
    <cfRule type="expression" priority="6" dxfId="2">
      <formula>$H$21&gt;22</formula>
    </cfRule>
  </conditionalFormatting>
  <conditionalFormatting sqref="H41">
    <cfRule type="expression" priority="7" dxfId="2">
      <formula>LEFT($H$41,7)="Achtung"</formula>
    </cfRule>
    <cfRule type="expression" priority="8" dxfId="0">
      <formula>LEFT($H$41,7)&lt;&gt;"Achtung"</formula>
    </cfRule>
  </conditionalFormatting>
  <conditionalFormatting sqref="H44">
    <cfRule type="expression" priority="9" dxfId="0">
      <formula>$H$44="OK"</formula>
    </cfRule>
    <cfRule type="expression" priority="10" dxfId="2">
      <formula>$H$44&lt;&gt;"OK"</formula>
    </cfRule>
  </conditionalFormatting>
  <conditionalFormatting sqref="H45">
    <cfRule type="expression" priority="11" dxfId="0">
      <formula>$H$45="OK"</formula>
    </cfRule>
    <cfRule type="expression" priority="12" dxfId="2">
      <formula>$H$45&lt;&gt;"OK"</formula>
    </cfRule>
  </conditionalFormatting>
  <conditionalFormatting sqref="H46">
    <cfRule type="expression" priority="13" dxfId="0">
      <formula>$H$46="OK"</formula>
    </cfRule>
    <cfRule type="expression" priority="14" dxfId="2">
      <formula>$H$46&lt;&gt;"OK"</formula>
    </cfRule>
  </conditionalFormatting>
  <dataValidations count="25">
    <dataValidation sqref="C6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7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8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9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10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11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13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14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15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17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18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19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20" showDropDown="0" showInputMessage="0" showErrorMessage="1" allowBlank="0" errorTitle="Ungültiger Wert" error="Bitte einen Wert zwischen 1 und 40 eingeben." type="whole" operator="between">
      <formula1>1</formula1>
      <formula2>40</formula2>
    </dataValidation>
    <dataValidation sqref="C21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23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24" showDropDown="0" showInputMessage="0" showErrorMessage="1" allowBlank="0" errorTitle="Ungültiger Wert" error="Bitte einen Wert zwischen 0 und 1e+09 eingeben." type="decimal" operator="between">
      <formula1>0</formula1>
      <formula2>1000000000.0</formula2>
    </dataValidation>
    <dataValidation sqref="C25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26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27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28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30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31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32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  <dataValidation sqref="C34" showDropDown="0" showInputMessage="0" showErrorMessage="1" allowBlank="0" errorTitle="Ungültiger Wert" error="Bitte einen Wert zwischen 18 und 110 eingeben." type="whole" operator="between">
      <formula1>18</formula1>
      <formula2>110</formula2>
    </dataValidation>
    <dataValidation sqref="C35" showDropDown="0" showInputMessage="0" showErrorMessage="1" allowBlank="0" errorTitle="Ungültiger Wert" error="Bitte einen Prozentwert zwischen 0 % und 100 % eingeben, z. B. 5 %.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4" t="inlineStr">
        <is>
          <t>Prognose über 30 Jahre (Werte pro Jahr)</t>
        </is>
      </c>
    </row>
    <row r="2">
      <c r="A2" s="2" t="inlineStr">
        <is>
          <t>Basiert auf dem Blatt Rechner. Zinsen/Tilgung monatsgenau; Miete und Kosten steigen mit den eingegebenen Raten. Grüne Schrift = Bezug auf das Blatt Rechner.</t>
        </is>
      </c>
    </row>
    <row r="4" ht="30" customHeight="1">
      <c r="A4" s="25" t="inlineStr">
        <is>
          <t>Jahr</t>
        </is>
      </c>
      <c r="B4" s="25" t="inlineStr">
        <is>
          <t>Zinssatz</t>
        </is>
      </c>
      <c r="C4" s="25" t="inlineStr">
        <is>
          <t>Restschuld Anfang</t>
        </is>
      </c>
      <c r="D4" s="25" t="inlineStr">
        <is>
          <t>Kaltmiete</t>
        </is>
      </c>
      <c r="E4" s="25" t="inlineStr">
        <is>
          <t>Mietausfall</t>
        </is>
      </c>
      <c r="F4" s="25" t="inlineStr">
        <is>
          <t>Instandh. + Kosten</t>
        </is>
      </c>
      <c r="G4" s="25" t="inlineStr">
        <is>
          <t>Zinsen</t>
        </is>
      </c>
      <c r="H4" s="25" t="inlineStr">
        <is>
          <t>Tilgung</t>
        </is>
      </c>
      <c r="I4" s="25" t="inlineStr">
        <is>
          <t>Restschuld Ende</t>
        </is>
      </c>
      <c r="J4" s="25" t="inlineStr">
        <is>
          <t>Cashflow vor Steuern</t>
        </is>
      </c>
      <c r="K4" s="25" t="inlineStr">
        <is>
          <t>AfA</t>
        </is>
      </c>
      <c r="L4" s="25" t="inlineStr">
        <is>
          <t>Steuereffekt</t>
        </is>
      </c>
      <c r="M4" s="25" t="inlineStr">
        <is>
          <t>Cashflow nach Steuern</t>
        </is>
      </c>
      <c r="N4" s="25" t="inlineStr">
        <is>
          <t>Kumulierter Cashflow</t>
        </is>
      </c>
      <c r="O4" s="25" t="inlineStr">
        <is>
          <t>Immobilienwert</t>
        </is>
      </c>
      <c r="P4" s="25" t="inlineStr">
        <is>
          <t>Eigenkapital im Objekt</t>
        </is>
      </c>
    </row>
    <row r="5">
      <c r="A5" s="5" t="n">
        <v>1</v>
      </c>
      <c r="B5" s="26">
        <f>IF(A5&lt;=Rechner!$C$20,Rechner!$C$18,Rechner!$C$21)</f>
        <v/>
      </c>
      <c r="C5" s="27">
        <f>Rechner!$H$10</f>
        <v/>
      </c>
      <c r="D5" s="27">
        <f>Rechner!$H$7*12*(1+Rechner!$C$30)^(A5-1)</f>
        <v/>
      </c>
      <c r="E5" s="27">
        <f>-D5*Rechner!$C$25</f>
        <v/>
      </c>
      <c r="F5" s="27">
        <f>(Rechner!$H$15+Rechner!$H$16)*12*(1+Rechner!$C$31)^(A5-1)</f>
        <v/>
      </c>
      <c r="G5" s="28">
        <f>IF(C5&lt;=0,0,IF(I5&gt;0,-(12*(Rechner!$H$10*(Rechner!$C$18+Rechner!$C$19)/12)-(C5-I5)),IF(B5=0,0,-((Rechner!$H$10*(Rechner!$C$18+Rechner!$C$19)/12)*NPER(B5/12,-(Rechner!$H$10*(Rechner!$C$18+Rechner!$C$19)/12),C5)-C5))))</f>
        <v/>
      </c>
      <c r="H5" s="28">
        <f>-(C5-I5)</f>
        <v/>
      </c>
      <c r="I5" s="28">
        <f>IF(C5&lt;=0,0,IF(B5=0,MAX(0,C5-12*(Rechner!$H$10*(Rechner!$C$18+Rechner!$C$19)/12)),MAX(0,(C5*(1+B5/12)^12-(Rechner!$H$10*(Rechner!$C$18+Rechner!$C$19)/12)*((1+B5/12)^12-1)/(B5/12)))))</f>
        <v/>
      </c>
      <c r="J5" s="28">
        <f>D5+E5+F5+G5+H5</f>
        <v/>
      </c>
      <c r="K5" s="27">
        <f>-Rechner!$H$28*(A5&lt;=1/Rechner!$C$27)</f>
        <v/>
      </c>
      <c r="L5" s="28">
        <f>-(D5+E5+F5+G5+K5)*Rechner!$C$28</f>
        <v/>
      </c>
      <c r="M5" s="29">
        <f>J5+L5</f>
        <v/>
      </c>
      <c r="N5" s="28">
        <f>M5</f>
        <v/>
      </c>
      <c r="O5" s="27">
        <f>Rechner!$C$6*(1+Rechner!$C$32)^A5</f>
        <v/>
      </c>
      <c r="P5" s="29">
        <f>O5-I5</f>
        <v/>
      </c>
    </row>
    <row r="6">
      <c r="A6" s="5" t="n">
        <v>2</v>
      </c>
      <c r="B6" s="26">
        <f>IF(A6&lt;=Rechner!$C$20,Rechner!$C$18,Rechner!$C$21)</f>
        <v/>
      </c>
      <c r="C6" s="28">
        <f>I5</f>
        <v/>
      </c>
      <c r="D6" s="27">
        <f>Rechner!$H$7*12*(1+Rechner!$C$30)^(A6-1)</f>
        <v/>
      </c>
      <c r="E6" s="27">
        <f>-D6*Rechner!$C$25</f>
        <v/>
      </c>
      <c r="F6" s="27">
        <f>(Rechner!$H$15+Rechner!$H$16)*12*(1+Rechner!$C$31)^(A6-1)</f>
        <v/>
      </c>
      <c r="G6" s="28">
        <f>IF(C6&lt;=0,0,IF(I6&gt;0,-(12*(Rechner!$H$10*(Rechner!$C$18+Rechner!$C$19)/12)-(C6-I6)),IF(B6=0,0,-((Rechner!$H$10*(Rechner!$C$18+Rechner!$C$19)/12)*NPER(B6/12,-(Rechner!$H$10*(Rechner!$C$18+Rechner!$C$19)/12),C6)-C6))))</f>
        <v/>
      </c>
      <c r="H6" s="28">
        <f>-(C6-I6)</f>
        <v/>
      </c>
      <c r="I6" s="28">
        <f>IF(C6&lt;=0,0,IF(B6=0,MAX(0,C6-12*(Rechner!$H$10*(Rechner!$C$18+Rechner!$C$19)/12)),MAX(0,(C6*(1+B6/12)^12-(Rechner!$H$10*(Rechner!$C$18+Rechner!$C$19)/12)*((1+B6/12)^12-1)/(B6/12)))))</f>
        <v/>
      </c>
      <c r="J6" s="28">
        <f>D6+E6+F6+G6+H6</f>
        <v/>
      </c>
      <c r="K6" s="27">
        <f>-Rechner!$H$28*(A6&lt;=1/Rechner!$C$27)</f>
        <v/>
      </c>
      <c r="L6" s="28">
        <f>-(D6+E6+F6+G6+K6)*Rechner!$C$28</f>
        <v/>
      </c>
      <c r="M6" s="29">
        <f>J6+L6</f>
        <v/>
      </c>
      <c r="N6" s="28">
        <f>N5+M6</f>
        <v/>
      </c>
      <c r="O6" s="27">
        <f>Rechner!$C$6*(1+Rechner!$C$32)^A6</f>
        <v/>
      </c>
      <c r="P6" s="29">
        <f>O6-I6</f>
        <v/>
      </c>
    </row>
    <row r="7">
      <c r="A7" s="5" t="n">
        <v>3</v>
      </c>
      <c r="B7" s="26">
        <f>IF(A7&lt;=Rechner!$C$20,Rechner!$C$18,Rechner!$C$21)</f>
        <v/>
      </c>
      <c r="C7" s="28">
        <f>I6</f>
        <v/>
      </c>
      <c r="D7" s="27">
        <f>Rechner!$H$7*12*(1+Rechner!$C$30)^(A7-1)</f>
        <v/>
      </c>
      <c r="E7" s="27">
        <f>-D7*Rechner!$C$25</f>
        <v/>
      </c>
      <c r="F7" s="27">
        <f>(Rechner!$H$15+Rechner!$H$16)*12*(1+Rechner!$C$31)^(A7-1)</f>
        <v/>
      </c>
      <c r="G7" s="28">
        <f>IF(C7&lt;=0,0,IF(I7&gt;0,-(12*(Rechner!$H$10*(Rechner!$C$18+Rechner!$C$19)/12)-(C7-I7)),IF(B7=0,0,-((Rechner!$H$10*(Rechner!$C$18+Rechner!$C$19)/12)*NPER(B7/12,-(Rechner!$H$10*(Rechner!$C$18+Rechner!$C$19)/12),C7)-C7))))</f>
        <v/>
      </c>
      <c r="H7" s="28">
        <f>-(C7-I7)</f>
        <v/>
      </c>
      <c r="I7" s="28">
        <f>IF(C7&lt;=0,0,IF(B7=0,MAX(0,C7-12*(Rechner!$H$10*(Rechner!$C$18+Rechner!$C$19)/12)),MAX(0,(C7*(1+B7/12)^12-(Rechner!$H$10*(Rechner!$C$18+Rechner!$C$19)/12)*((1+B7/12)^12-1)/(B7/12)))))</f>
        <v/>
      </c>
      <c r="J7" s="28">
        <f>D7+E7+F7+G7+H7</f>
        <v/>
      </c>
      <c r="K7" s="27">
        <f>-Rechner!$H$28*(A7&lt;=1/Rechner!$C$27)</f>
        <v/>
      </c>
      <c r="L7" s="28">
        <f>-(D7+E7+F7+G7+K7)*Rechner!$C$28</f>
        <v/>
      </c>
      <c r="M7" s="29">
        <f>J7+L7</f>
        <v/>
      </c>
      <c r="N7" s="28">
        <f>N6+M7</f>
        <v/>
      </c>
      <c r="O7" s="27">
        <f>Rechner!$C$6*(1+Rechner!$C$32)^A7</f>
        <v/>
      </c>
      <c r="P7" s="29">
        <f>O7-I7</f>
        <v/>
      </c>
    </row>
    <row r="8">
      <c r="A8" s="5" t="n">
        <v>4</v>
      </c>
      <c r="B8" s="26">
        <f>IF(A8&lt;=Rechner!$C$20,Rechner!$C$18,Rechner!$C$21)</f>
        <v/>
      </c>
      <c r="C8" s="28">
        <f>I7</f>
        <v/>
      </c>
      <c r="D8" s="27">
        <f>Rechner!$H$7*12*(1+Rechner!$C$30)^(A8-1)</f>
        <v/>
      </c>
      <c r="E8" s="27">
        <f>-D8*Rechner!$C$25</f>
        <v/>
      </c>
      <c r="F8" s="27">
        <f>(Rechner!$H$15+Rechner!$H$16)*12*(1+Rechner!$C$31)^(A8-1)</f>
        <v/>
      </c>
      <c r="G8" s="28">
        <f>IF(C8&lt;=0,0,IF(I8&gt;0,-(12*(Rechner!$H$10*(Rechner!$C$18+Rechner!$C$19)/12)-(C8-I8)),IF(B8=0,0,-((Rechner!$H$10*(Rechner!$C$18+Rechner!$C$19)/12)*NPER(B8/12,-(Rechner!$H$10*(Rechner!$C$18+Rechner!$C$19)/12),C8)-C8))))</f>
        <v/>
      </c>
      <c r="H8" s="28">
        <f>-(C8-I8)</f>
        <v/>
      </c>
      <c r="I8" s="28">
        <f>IF(C8&lt;=0,0,IF(B8=0,MAX(0,C8-12*(Rechner!$H$10*(Rechner!$C$18+Rechner!$C$19)/12)),MAX(0,(C8*(1+B8/12)^12-(Rechner!$H$10*(Rechner!$C$18+Rechner!$C$19)/12)*((1+B8/12)^12-1)/(B8/12)))))</f>
        <v/>
      </c>
      <c r="J8" s="28">
        <f>D8+E8+F8+G8+H8</f>
        <v/>
      </c>
      <c r="K8" s="27">
        <f>-Rechner!$H$28*(A8&lt;=1/Rechner!$C$27)</f>
        <v/>
      </c>
      <c r="L8" s="28">
        <f>-(D8+E8+F8+G8+K8)*Rechner!$C$28</f>
        <v/>
      </c>
      <c r="M8" s="29">
        <f>J8+L8</f>
        <v/>
      </c>
      <c r="N8" s="28">
        <f>N7+M8</f>
        <v/>
      </c>
      <c r="O8" s="27">
        <f>Rechner!$C$6*(1+Rechner!$C$32)^A8</f>
        <v/>
      </c>
      <c r="P8" s="29">
        <f>O8-I8</f>
        <v/>
      </c>
    </row>
    <row r="9">
      <c r="A9" s="5" t="n">
        <v>5</v>
      </c>
      <c r="B9" s="26">
        <f>IF(A9&lt;=Rechner!$C$20,Rechner!$C$18,Rechner!$C$21)</f>
        <v/>
      </c>
      <c r="C9" s="28">
        <f>I8</f>
        <v/>
      </c>
      <c r="D9" s="27">
        <f>Rechner!$H$7*12*(1+Rechner!$C$30)^(A9-1)</f>
        <v/>
      </c>
      <c r="E9" s="27">
        <f>-D9*Rechner!$C$25</f>
        <v/>
      </c>
      <c r="F9" s="27">
        <f>(Rechner!$H$15+Rechner!$H$16)*12*(1+Rechner!$C$31)^(A9-1)</f>
        <v/>
      </c>
      <c r="G9" s="28">
        <f>IF(C9&lt;=0,0,IF(I9&gt;0,-(12*(Rechner!$H$10*(Rechner!$C$18+Rechner!$C$19)/12)-(C9-I9)),IF(B9=0,0,-((Rechner!$H$10*(Rechner!$C$18+Rechner!$C$19)/12)*NPER(B9/12,-(Rechner!$H$10*(Rechner!$C$18+Rechner!$C$19)/12),C9)-C9))))</f>
        <v/>
      </c>
      <c r="H9" s="28">
        <f>-(C9-I9)</f>
        <v/>
      </c>
      <c r="I9" s="28">
        <f>IF(C9&lt;=0,0,IF(B9=0,MAX(0,C9-12*(Rechner!$H$10*(Rechner!$C$18+Rechner!$C$19)/12)),MAX(0,(C9*(1+B9/12)^12-(Rechner!$H$10*(Rechner!$C$18+Rechner!$C$19)/12)*((1+B9/12)^12-1)/(B9/12)))))</f>
        <v/>
      </c>
      <c r="J9" s="28">
        <f>D9+E9+F9+G9+H9</f>
        <v/>
      </c>
      <c r="K9" s="27">
        <f>-Rechner!$H$28*(A9&lt;=1/Rechner!$C$27)</f>
        <v/>
      </c>
      <c r="L9" s="28">
        <f>-(D9+E9+F9+G9+K9)*Rechner!$C$28</f>
        <v/>
      </c>
      <c r="M9" s="29">
        <f>J9+L9</f>
        <v/>
      </c>
      <c r="N9" s="28">
        <f>N8+M9</f>
        <v/>
      </c>
      <c r="O9" s="27">
        <f>Rechner!$C$6*(1+Rechner!$C$32)^A9</f>
        <v/>
      </c>
      <c r="P9" s="29">
        <f>O9-I9</f>
        <v/>
      </c>
    </row>
    <row r="10">
      <c r="A10" s="5" t="n">
        <v>6</v>
      </c>
      <c r="B10" s="26">
        <f>IF(A10&lt;=Rechner!$C$20,Rechner!$C$18,Rechner!$C$21)</f>
        <v/>
      </c>
      <c r="C10" s="28">
        <f>I9</f>
        <v/>
      </c>
      <c r="D10" s="27">
        <f>Rechner!$H$7*12*(1+Rechner!$C$30)^(A10-1)</f>
        <v/>
      </c>
      <c r="E10" s="27">
        <f>-D10*Rechner!$C$25</f>
        <v/>
      </c>
      <c r="F10" s="27">
        <f>(Rechner!$H$15+Rechner!$H$16)*12*(1+Rechner!$C$31)^(A10-1)</f>
        <v/>
      </c>
      <c r="G10" s="28">
        <f>IF(C10&lt;=0,0,IF(I10&gt;0,-(12*(Rechner!$H$10*(Rechner!$C$18+Rechner!$C$19)/12)-(C10-I10)),IF(B10=0,0,-((Rechner!$H$10*(Rechner!$C$18+Rechner!$C$19)/12)*NPER(B10/12,-(Rechner!$H$10*(Rechner!$C$18+Rechner!$C$19)/12),C10)-C10))))</f>
        <v/>
      </c>
      <c r="H10" s="28">
        <f>-(C10-I10)</f>
        <v/>
      </c>
      <c r="I10" s="28">
        <f>IF(C10&lt;=0,0,IF(B10=0,MAX(0,C10-12*(Rechner!$H$10*(Rechner!$C$18+Rechner!$C$19)/12)),MAX(0,(C10*(1+B10/12)^12-(Rechner!$H$10*(Rechner!$C$18+Rechner!$C$19)/12)*((1+B10/12)^12-1)/(B10/12)))))</f>
        <v/>
      </c>
      <c r="J10" s="28">
        <f>D10+E10+F10+G10+H10</f>
        <v/>
      </c>
      <c r="K10" s="27">
        <f>-Rechner!$H$28*(A10&lt;=1/Rechner!$C$27)</f>
        <v/>
      </c>
      <c r="L10" s="28">
        <f>-(D10+E10+F10+G10+K10)*Rechner!$C$28</f>
        <v/>
      </c>
      <c r="M10" s="29">
        <f>J10+L10</f>
        <v/>
      </c>
      <c r="N10" s="28">
        <f>N9+M10</f>
        <v/>
      </c>
      <c r="O10" s="27">
        <f>Rechner!$C$6*(1+Rechner!$C$32)^A10</f>
        <v/>
      </c>
      <c r="P10" s="29">
        <f>O10-I10</f>
        <v/>
      </c>
    </row>
    <row r="11">
      <c r="A11" s="5" t="n">
        <v>7</v>
      </c>
      <c r="B11" s="26">
        <f>IF(A11&lt;=Rechner!$C$20,Rechner!$C$18,Rechner!$C$21)</f>
        <v/>
      </c>
      <c r="C11" s="28">
        <f>I10</f>
        <v/>
      </c>
      <c r="D11" s="27">
        <f>Rechner!$H$7*12*(1+Rechner!$C$30)^(A11-1)</f>
        <v/>
      </c>
      <c r="E11" s="27">
        <f>-D11*Rechner!$C$25</f>
        <v/>
      </c>
      <c r="F11" s="27">
        <f>(Rechner!$H$15+Rechner!$H$16)*12*(1+Rechner!$C$31)^(A11-1)</f>
        <v/>
      </c>
      <c r="G11" s="28">
        <f>IF(C11&lt;=0,0,IF(I11&gt;0,-(12*(Rechner!$H$10*(Rechner!$C$18+Rechner!$C$19)/12)-(C11-I11)),IF(B11=0,0,-((Rechner!$H$10*(Rechner!$C$18+Rechner!$C$19)/12)*NPER(B11/12,-(Rechner!$H$10*(Rechner!$C$18+Rechner!$C$19)/12),C11)-C11))))</f>
        <v/>
      </c>
      <c r="H11" s="28">
        <f>-(C11-I11)</f>
        <v/>
      </c>
      <c r="I11" s="28">
        <f>IF(C11&lt;=0,0,IF(B11=0,MAX(0,C11-12*(Rechner!$H$10*(Rechner!$C$18+Rechner!$C$19)/12)),MAX(0,(C11*(1+B11/12)^12-(Rechner!$H$10*(Rechner!$C$18+Rechner!$C$19)/12)*((1+B11/12)^12-1)/(B11/12)))))</f>
        <v/>
      </c>
      <c r="J11" s="28">
        <f>D11+E11+F11+G11+H11</f>
        <v/>
      </c>
      <c r="K11" s="27">
        <f>-Rechner!$H$28*(A11&lt;=1/Rechner!$C$27)</f>
        <v/>
      </c>
      <c r="L11" s="28">
        <f>-(D11+E11+F11+G11+K11)*Rechner!$C$28</f>
        <v/>
      </c>
      <c r="M11" s="29">
        <f>J11+L11</f>
        <v/>
      </c>
      <c r="N11" s="28">
        <f>N10+M11</f>
        <v/>
      </c>
      <c r="O11" s="27">
        <f>Rechner!$C$6*(1+Rechner!$C$32)^A11</f>
        <v/>
      </c>
      <c r="P11" s="29">
        <f>O11-I11</f>
        <v/>
      </c>
    </row>
    <row r="12">
      <c r="A12" s="5" t="n">
        <v>8</v>
      </c>
      <c r="B12" s="26">
        <f>IF(A12&lt;=Rechner!$C$20,Rechner!$C$18,Rechner!$C$21)</f>
        <v/>
      </c>
      <c r="C12" s="28">
        <f>I11</f>
        <v/>
      </c>
      <c r="D12" s="27">
        <f>Rechner!$H$7*12*(1+Rechner!$C$30)^(A12-1)</f>
        <v/>
      </c>
      <c r="E12" s="27">
        <f>-D12*Rechner!$C$25</f>
        <v/>
      </c>
      <c r="F12" s="27">
        <f>(Rechner!$H$15+Rechner!$H$16)*12*(1+Rechner!$C$31)^(A12-1)</f>
        <v/>
      </c>
      <c r="G12" s="28">
        <f>IF(C12&lt;=0,0,IF(I12&gt;0,-(12*(Rechner!$H$10*(Rechner!$C$18+Rechner!$C$19)/12)-(C12-I12)),IF(B12=0,0,-((Rechner!$H$10*(Rechner!$C$18+Rechner!$C$19)/12)*NPER(B12/12,-(Rechner!$H$10*(Rechner!$C$18+Rechner!$C$19)/12),C12)-C12))))</f>
        <v/>
      </c>
      <c r="H12" s="28">
        <f>-(C12-I12)</f>
        <v/>
      </c>
      <c r="I12" s="28">
        <f>IF(C12&lt;=0,0,IF(B12=0,MAX(0,C12-12*(Rechner!$H$10*(Rechner!$C$18+Rechner!$C$19)/12)),MAX(0,(C12*(1+B12/12)^12-(Rechner!$H$10*(Rechner!$C$18+Rechner!$C$19)/12)*((1+B12/12)^12-1)/(B12/12)))))</f>
        <v/>
      </c>
      <c r="J12" s="28">
        <f>D12+E12+F12+G12+H12</f>
        <v/>
      </c>
      <c r="K12" s="27">
        <f>-Rechner!$H$28*(A12&lt;=1/Rechner!$C$27)</f>
        <v/>
      </c>
      <c r="L12" s="28">
        <f>-(D12+E12+F12+G12+K12)*Rechner!$C$28</f>
        <v/>
      </c>
      <c r="M12" s="29">
        <f>J12+L12</f>
        <v/>
      </c>
      <c r="N12" s="28">
        <f>N11+M12</f>
        <v/>
      </c>
      <c r="O12" s="27">
        <f>Rechner!$C$6*(1+Rechner!$C$32)^A12</f>
        <v/>
      </c>
      <c r="P12" s="29">
        <f>O12-I12</f>
        <v/>
      </c>
    </row>
    <row r="13">
      <c r="A13" s="5" t="n">
        <v>9</v>
      </c>
      <c r="B13" s="26">
        <f>IF(A13&lt;=Rechner!$C$20,Rechner!$C$18,Rechner!$C$21)</f>
        <v/>
      </c>
      <c r="C13" s="28">
        <f>I12</f>
        <v/>
      </c>
      <c r="D13" s="27">
        <f>Rechner!$H$7*12*(1+Rechner!$C$30)^(A13-1)</f>
        <v/>
      </c>
      <c r="E13" s="27">
        <f>-D13*Rechner!$C$25</f>
        <v/>
      </c>
      <c r="F13" s="27">
        <f>(Rechner!$H$15+Rechner!$H$16)*12*(1+Rechner!$C$31)^(A13-1)</f>
        <v/>
      </c>
      <c r="G13" s="28">
        <f>IF(C13&lt;=0,0,IF(I13&gt;0,-(12*(Rechner!$H$10*(Rechner!$C$18+Rechner!$C$19)/12)-(C13-I13)),IF(B13=0,0,-((Rechner!$H$10*(Rechner!$C$18+Rechner!$C$19)/12)*NPER(B13/12,-(Rechner!$H$10*(Rechner!$C$18+Rechner!$C$19)/12),C13)-C13))))</f>
        <v/>
      </c>
      <c r="H13" s="28">
        <f>-(C13-I13)</f>
        <v/>
      </c>
      <c r="I13" s="28">
        <f>IF(C13&lt;=0,0,IF(B13=0,MAX(0,C13-12*(Rechner!$H$10*(Rechner!$C$18+Rechner!$C$19)/12)),MAX(0,(C13*(1+B13/12)^12-(Rechner!$H$10*(Rechner!$C$18+Rechner!$C$19)/12)*((1+B13/12)^12-1)/(B13/12)))))</f>
        <v/>
      </c>
      <c r="J13" s="28">
        <f>D13+E13+F13+G13+H13</f>
        <v/>
      </c>
      <c r="K13" s="27">
        <f>-Rechner!$H$28*(A13&lt;=1/Rechner!$C$27)</f>
        <v/>
      </c>
      <c r="L13" s="28">
        <f>-(D13+E13+F13+G13+K13)*Rechner!$C$28</f>
        <v/>
      </c>
      <c r="M13" s="29">
        <f>J13+L13</f>
        <v/>
      </c>
      <c r="N13" s="28">
        <f>N12+M13</f>
        <v/>
      </c>
      <c r="O13" s="27">
        <f>Rechner!$C$6*(1+Rechner!$C$32)^A13</f>
        <v/>
      </c>
      <c r="P13" s="29">
        <f>O13-I13</f>
        <v/>
      </c>
    </row>
    <row r="14">
      <c r="A14" s="5" t="n">
        <v>10</v>
      </c>
      <c r="B14" s="26">
        <f>IF(A14&lt;=Rechner!$C$20,Rechner!$C$18,Rechner!$C$21)</f>
        <v/>
      </c>
      <c r="C14" s="28">
        <f>I13</f>
        <v/>
      </c>
      <c r="D14" s="27">
        <f>Rechner!$H$7*12*(1+Rechner!$C$30)^(A14-1)</f>
        <v/>
      </c>
      <c r="E14" s="27">
        <f>-D14*Rechner!$C$25</f>
        <v/>
      </c>
      <c r="F14" s="27">
        <f>(Rechner!$H$15+Rechner!$H$16)*12*(1+Rechner!$C$31)^(A14-1)</f>
        <v/>
      </c>
      <c r="G14" s="28">
        <f>IF(C14&lt;=0,0,IF(I14&gt;0,-(12*(Rechner!$H$10*(Rechner!$C$18+Rechner!$C$19)/12)-(C14-I14)),IF(B14=0,0,-((Rechner!$H$10*(Rechner!$C$18+Rechner!$C$19)/12)*NPER(B14/12,-(Rechner!$H$10*(Rechner!$C$18+Rechner!$C$19)/12),C14)-C14))))</f>
        <v/>
      </c>
      <c r="H14" s="28">
        <f>-(C14-I14)</f>
        <v/>
      </c>
      <c r="I14" s="28">
        <f>IF(C14&lt;=0,0,IF(B14=0,MAX(0,C14-12*(Rechner!$H$10*(Rechner!$C$18+Rechner!$C$19)/12)),MAX(0,(C14*(1+B14/12)^12-(Rechner!$H$10*(Rechner!$C$18+Rechner!$C$19)/12)*((1+B14/12)^12-1)/(B14/12)))))</f>
        <v/>
      </c>
      <c r="J14" s="28">
        <f>D14+E14+F14+G14+H14</f>
        <v/>
      </c>
      <c r="K14" s="27">
        <f>-Rechner!$H$28*(A14&lt;=1/Rechner!$C$27)</f>
        <v/>
      </c>
      <c r="L14" s="28">
        <f>-(D14+E14+F14+G14+K14)*Rechner!$C$28</f>
        <v/>
      </c>
      <c r="M14" s="29">
        <f>J14+L14</f>
        <v/>
      </c>
      <c r="N14" s="28">
        <f>N13+M14</f>
        <v/>
      </c>
      <c r="O14" s="27">
        <f>Rechner!$C$6*(1+Rechner!$C$32)^A14</f>
        <v/>
      </c>
      <c r="P14" s="29">
        <f>O14-I14</f>
        <v/>
      </c>
    </row>
    <row r="15">
      <c r="A15" s="5" t="n">
        <v>11</v>
      </c>
      <c r="B15" s="26">
        <f>IF(A15&lt;=Rechner!$C$20,Rechner!$C$18,Rechner!$C$21)</f>
        <v/>
      </c>
      <c r="C15" s="28">
        <f>I14</f>
        <v/>
      </c>
      <c r="D15" s="27">
        <f>Rechner!$H$7*12*(1+Rechner!$C$30)^(A15-1)</f>
        <v/>
      </c>
      <c r="E15" s="27">
        <f>-D15*Rechner!$C$25</f>
        <v/>
      </c>
      <c r="F15" s="27">
        <f>(Rechner!$H$15+Rechner!$H$16)*12*(1+Rechner!$C$31)^(A15-1)</f>
        <v/>
      </c>
      <c r="G15" s="28">
        <f>IF(C15&lt;=0,0,IF(I15&gt;0,-(12*(Rechner!$H$10*(Rechner!$C$18+Rechner!$C$19)/12)-(C15-I15)),IF(B15=0,0,-((Rechner!$H$10*(Rechner!$C$18+Rechner!$C$19)/12)*NPER(B15/12,-(Rechner!$H$10*(Rechner!$C$18+Rechner!$C$19)/12),C15)-C15))))</f>
        <v/>
      </c>
      <c r="H15" s="28">
        <f>-(C15-I15)</f>
        <v/>
      </c>
      <c r="I15" s="28">
        <f>IF(C15&lt;=0,0,IF(B15=0,MAX(0,C15-12*(Rechner!$H$10*(Rechner!$C$18+Rechner!$C$19)/12)),MAX(0,(C15*(1+B15/12)^12-(Rechner!$H$10*(Rechner!$C$18+Rechner!$C$19)/12)*((1+B15/12)^12-1)/(B15/12)))))</f>
        <v/>
      </c>
      <c r="J15" s="28">
        <f>D15+E15+F15+G15+H15</f>
        <v/>
      </c>
      <c r="K15" s="27">
        <f>-Rechner!$H$28*(A15&lt;=1/Rechner!$C$27)</f>
        <v/>
      </c>
      <c r="L15" s="28">
        <f>-(D15+E15+F15+G15+K15)*Rechner!$C$28</f>
        <v/>
      </c>
      <c r="M15" s="29">
        <f>J15+L15</f>
        <v/>
      </c>
      <c r="N15" s="28">
        <f>N14+M15</f>
        <v/>
      </c>
      <c r="O15" s="27">
        <f>Rechner!$C$6*(1+Rechner!$C$32)^A15</f>
        <v/>
      </c>
      <c r="P15" s="29">
        <f>O15-I15</f>
        <v/>
      </c>
    </row>
    <row r="16">
      <c r="A16" s="5" t="n">
        <v>12</v>
      </c>
      <c r="B16" s="26">
        <f>IF(A16&lt;=Rechner!$C$20,Rechner!$C$18,Rechner!$C$21)</f>
        <v/>
      </c>
      <c r="C16" s="28">
        <f>I15</f>
        <v/>
      </c>
      <c r="D16" s="27">
        <f>Rechner!$H$7*12*(1+Rechner!$C$30)^(A16-1)</f>
        <v/>
      </c>
      <c r="E16" s="27">
        <f>-D16*Rechner!$C$25</f>
        <v/>
      </c>
      <c r="F16" s="27">
        <f>(Rechner!$H$15+Rechner!$H$16)*12*(1+Rechner!$C$31)^(A16-1)</f>
        <v/>
      </c>
      <c r="G16" s="28">
        <f>IF(C16&lt;=0,0,IF(I16&gt;0,-(12*(Rechner!$H$10*(Rechner!$C$18+Rechner!$C$19)/12)-(C16-I16)),IF(B16=0,0,-((Rechner!$H$10*(Rechner!$C$18+Rechner!$C$19)/12)*NPER(B16/12,-(Rechner!$H$10*(Rechner!$C$18+Rechner!$C$19)/12),C16)-C16))))</f>
        <v/>
      </c>
      <c r="H16" s="28">
        <f>-(C16-I16)</f>
        <v/>
      </c>
      <c r="I16" s="28">
        <f>IF(C16&lt;=0,0,IF(B16=0,MAX(0,C16-12*(Rechner!$H$10*(Rechner!$C$18+Rechner!$C$19)/12)),MAX(0,(C16*(1+B16/12)^12-(Rechner!$H$10*(Rechner!$C$18+Rechner!$C$19)/12)*((1+B16/12)^12-1)/(B16/12)))))</f>
        <v/>
      </c>
      <c r="J16" s="28">
        <f>D16+E16+F16+G16+H16</f>
        <v/>
      </c>
      <c r="K16" s="27">
        <f>-Rechner!$H$28*(A16&lt;=1/Rechner!$C$27)</f>
        <v/>
      </c>
      <c r="L16" s="28">
        <f>-(D16+E16+F16+G16+K16)*Rechner!$C$28</f>
        <v/>
      </c>
      <c r="M16" s="29">
        <f>J16+L16</f>
        <v/>
      </c>
      <c r="N16" s="28">
        <f>N15+M16</f>
        <v/>
      </c>
      <c r="O16" s="27">
        <f>Rechner!$C$6*(1+Rechner!$C$32)^A16</f>
        <v/>
      </c>
      <c r="P16" s="29">
        <f>O16-I16</f>
        <v/>
      </c>
    </row>
    <row r="17">
      <c r="A17" s="5" t="n">
        <v>13</v>
      </c>
      <c r="B17" s="26">
        <f>IF(A17&lt;=Rechner!$C$20,Rechner!$C$18,Rechner!$C$21)</f>
        <v/>
      </c>
      <c r="C17" s="28">
        <f>I16</f>
        <v/>
      </c>
      <c r="D17" s="27">
        <f>Rechner!$H$7*12*(1+Rechner!$C$30)^(A17-1)</f>
        <v/>
      </c>
      <c r="E17" s="27">
        <f>-D17*Rechner!$C$25</f>
        <v/>
      </c>
      <c r="F17" s="27">
        <f>(Rechner!$H$15+Rechner!$H$16)*12*(1+Rechner!$C$31)^(A17-1)</f>
        <v/>
      </c>
      <c r="G17" s="28">
        <f>IF(C17&lt;=0,0,IF(I17&gt;0,-(12*(Rechner!$H$10*(Rechner!$C$18+Rechner!$C$19)/12)-(C17-I17)),IF(B17=0,0,-((Rechner!$H$10*(Rechner!$C$18+Rechner!$C$19)/12)*NPER(B17/12,-(Rechner!$H$10*(Rechner!$C$18+Rechner!$C$19)/12),C17)-C17))))</f>
        <v/>
      </c>
      <c r="H17" s="28">
        <f>-(C17-I17)</f>
        <v/>
      </c>
      <c r="I17" s="28">
        <f>IF(C17&lt;=0,0,IF(B17=0,MAX(0,C17-12*(Rechner!$H$10*(Rechner!$C$18+Rechner!$C$19)/12)),MAX(0,(C17*(1+B17/12)^12-(Rechner!$H$10*(Rechner!$C$18+Rechner!$C$19)/12)*((1+B17/12)^12-1)/(B17/12)))))</f>
        <v/>
      </c>
      <c r="J17" s="28">
        <f>D17+E17+F17+G17+H17</f>
        <v/>
      </c>
      <c r="K17" s="27">
        <f>-Rechner!$H$28*(A17&lt;=1/Rechner!$C$27)</f>
        <v/>
      </c>
      <c r="L17" s="28">
        <f>-(D17+E17+F17+G17+K17)*Rechner!$C$28</f>
        <v/>
      </c>
      <c r="M17" s="29">
        <f>J17+L17</f>
        <v/>
      </c>
      <c r="N17" s="28">
        <f>N16+M17</f>
        <v/>
      </c>
      <c r="O17" s="27">
        <f>Rechner!$C$6*(1+Rechner!$C$32)^A17</f>
        <v/>
      </c>
      <c r="P17" s="29">
        <f>O17-I17</f>
        <v/>
      </c>
    </row>
    <row r="18">
      <c r="A18" s="5" t="n">
        <v>14</v>
      </c>
      <c r="B18" s="26">
        <f>IF(A18&lt;=Rechner!$C$20,Rechner!$C$18,Rechner!$C$21)</f>
        <v/>
      </c>
      <c r="C18" s="28">
        <f>I17</f>
        <v/>
      </c>
      <c r="D18" s="27">
        <f>Rechner!$H$7*12*(1+Rechner!$C$30)^(A18-1)</f>
        <v/>
      </c>
      <c r="E18" s="27">
        <f>-D18*Rechner!$C$25</f>
        <v/>
      </c>
      <c r="F18" s="27">
        <f>(Rechner!$H$15+Rechner!$H$16)*12*(1+Rechner!$C$31)^(A18-1)</f>
        <v/>
      </c>
      <c r="G18" s="28">
        <f>IF(C18&lt;=0,0,IF(I18&gt;0,-(12*(Rechner!$H$10*(Rechner!$C$18+Rechner!$C$19)/12)-(C18-I18)),IF(B18=0,0,-((Rechner!$H$10*(Rechner!$C$18+Rechner!$C$19)/12)*NPER(B18/12,-(Rechner!$H$10*(Rechner!$C$18+Rechner!$C$19)/12),C18)-C18))))</f>
        <v/>
      </c>
      <c r="H18" s="28">
        <f>-(C18-I18)</f>
        <v/>
      </c>
      <c r="I18" s="28">
        <f>IF(C18&lt;=0,0,IF(B18=0,MAX(0,C18-12*(Rechner!$H$10*(Rechner!$C$18+Rechner!$C$19)/12)),MAX(0,(C18*(1+B18/12)^12-(Rechner!$H$10*(Rechner!$C$18+Rechner!$C$19)/12)*((1+B18/12)^12-1)/(B18/12)))))</f>
        <v/>
      </c>
      <c r="J18" s="28">
        <f>D18+E18+F18+G18+H18</f>
        <v/>
      </c>
      <c r="K18" s="27">
        <f>-Rechner!$H$28*(A18&lt;=1/Rechner!$C$27)</f>
        <v/>
      </c>
      <c r="L18" s="28">
        <f>-(D18+E18+F18+G18+K18)*Rechner!$C$28</f>
        <v/>
      </c>
      <c r="M18" s="29">
        <f>J18+L18</f>
        <v/>
      </c>
      <c r="N18" s="28">
        <f>N17+M18</f>
        <v/>
      </c>
      <c r="O18" s="27">
        <f>Rechner!$C$6*(1+Rechner!$C$32)^A18</f>
        <v/>
      </c>
      <c r="P18" s="29">
        <f>O18-I18</f>
        <v/>
      </c>
    </row>
    <row r="19">
      <c r="A19" s="5" t="n">
        <v>15</v>
      </c>
      <c r="B19" s="26">
        <f>IF(A19&lt;=Rechner!$C$20,Rechner!$C$18,Rechner!$C$21)</f>
        <v/>
      </c>
      <c r="C19" s="28">
        <f>I18</f>
        <v/>
      </c>
      <c r="D19" s="27">
        <f>Rechner!$H$7*12*(1+Rechner!$C$30)^(A19-1)</f>
        <v/>
      </c>
      <c r="E19" s="27">
        <f>-D19*Rechner!$C$25</f>
        <v/>
      </c>
      <c r="F19" s="27">
        <f>(Rechner!$H$15+Rechner!$H$16)*12*(1+Rechner!$C$31)^(A19-1)</f>
        <v/>
      </c>
      <c r="G19" s="28">
        <f>IF(C19&lt;=0,0,IF(I19&gt;0,-(12*(Rechner!$H$10*(Rechner!$C$18+Rechner!$C$19)/12)-(C19-I19)),IF(B19=0,0,-((Rechner!$H$10*(Rechner!$C$18+Rechner!$C$19)/12)*NPER(B19/12,-(Rechner!$H$10*(Rechner!$C$18+Rechner!$C$19)/12),C19)-C19))))</f>
        <v/>
      </c>
      <c r="H19" s="28">
        <f>-(C19-I19)</f>
        <v/>
      </c>
      <c r="I19" s="28">
        <f>IF(C19&lt;=0,0,IF(B19=0,MAX(0,C19-12*(Rechner!$H$10*(Rechner!$C$18+Rechner!$C$19)/12)),MAX(0,(C19*(1+B19/12)^12-(Rechner!$H$10*(Rechner!$C$18+Rechner!$C$19)/12)*((1+B19/12)^12-1)/(B19/12)))))</f>
        <v/>
      </c>
      <c r="J19" s="28">
        <f>D19+E19+F19+G19+H19</f>
        <v/>
      </c>
      <c r="K19" s="27">
        <f>-Rechner!$H$28*(A19&lt;=1/Rechner!$C$27)</f>
        <v/>
      </c>
      <c r="L19" s="28">
        <f>-(D19+E19+F19+G19+K19)*Rechner!$C$28</f>
        <v/>
      </c>
      <c r="M19" s="29">
        <f>J19+L19</f>
        <v/>
      </c>
      <c r="N19" s="28">
        <f>N18+M19</f>
        <v/>
      </c>
      <c r="O19" s="27">
        <f>Rechner!$C$6*(1+Rechner!$C$32)^A19</f>
        <v/>
      </c>
      <c r="P19" s="29">
        <f>O19-I19</f>
        <v/>
      </c>
    </row>
    <row r="20">
      <c r="A20" s="5" t="n">
        <v>16</v>
      </c>
      <c r="B20" s="26">
        <f>IF(A20&lt;=Rechner!$C$20,Rechner!$C$18,Rechner!$C$21)</f>
        <v/>
      </c>
      <c r="C20" s="28">
        <f>I19</f>
        <v/>
      </c>
      <c r="D20" s="27">
        <f>Rechner!$H$7*12*(1+Rechner!$C$30)^(A20-1)</f>
        <v/>
      </c>
      <c r="E20" s="27">
        <f>-D20*Rechner!$C$25</f>
        <v/>
      </c>
      <c r="F20" s="27">
        <f>(Rechner!$H$15+Rechner!$H$16)*12*(1+Rechner!$C$31)^(A20-1)</f>
        <v/>
      </c>
      <c r="G20" s="28">
        <f>IF(C20&lt;=0,0,IF(I20&gt;0,-(12*(Rechner!$H$10*(Rechner!$C$18+Rechner!$C$19)/12)-(C20-I20)),IF(B20=0,0,-((Rechner!$H$10*(Rechner!$C$18+Rechner!$C$19)/12)*NPER(B20/12,-(Rechner!$H$10*(Rechner!$C$18+Rechner!$C$19)/12),C20)-C20))))</f>
        <v/>
      </c>
      <c r="H20" s="28">
        <f>-(C20-I20)</f>
        <v/>
      </c>
      <c r="I20" s="28">
        <f>IF(C20&lt;=0,0,IF(B20=0,MAX(0,C20-12*(Rechner!$H$10*(Rechner!$C$18+Rechner!$C$19)/12)),MAX(0,(C20*(1+B20/12)^12-(Rechner!$H$10*(Rechner!$C$18+Rechner!$C$19)/12)*((1+B20/12)^12-1)/(B20/12)))))</f>
        <v/>
      </c>
      <c r="J20" s="28">
        <f>D20+E20+F20+G20+H20</f>
        <v/>
      </c>
      <c r="K20" s="27">
        <f>-Rechner!$H$28*(A20&lt;=1/Rechner!$C$27)</f>
        <v/>
      </c>
      <c r="L20" s="28">
        <f>-(D20+E20+F20+G20+K20)*Rechner!$C$28</f>
        <v/>
      </c>
      <c r="M20" s="29">
        <f>J20+L20</f>
        <v/>
      </c>
      <c r="N20" s="28">
        <f>N19+M20</f>
        <v/>
      </c>
      <c r="O20" s="27">
        <f>Rechner!$C$6*(1+Rechner!$C$32)^A20</f>
        <v/>
      </c>
      <c r="P20" s="29">
        <f>O20-I20</f>
        <v/>
      </c>
    </row>
    <row r="21">
      <c r="A21" s="5" t="n">
        <v>17</v>
      </c>
      <c r="B21" s="26">
        <f>IF(A21&lt;=Rechner!$C$20,Rechner!$C$18,Rechner!$C$21)</f>
        <v/>
      </c>
      <c r="C21" s="28">
        <f>I20</f>
        <v/>
      </c>
      <c r="D21" s="27">
        <f>Rechner!$H$7*12*(1+Rechner!$C$30)^(A21-1)</f>
        <v/>
      </c>
      <c r="E21" s="27">
        <f>-D21*Rechner!$C$25</f>
        <v/>
      </c>
      <c r="F21" s="27">
        <f>(Rechner!$H$15+Rechner!$H$16)*12*(1+Rechner!$C$31)^(A21-1)</f>
        <v/>
      </c>
      <c r="G21" s="28">
        <f>IF(C21&lt;=0,0,IF(I21&gt;0,-(12*(Rechner!$H$10*(Rechner!$C$18+Rechner!$C$19)/12)-(C21-I21)),IF(B21=0,0,-((Rechner!$H$10*(Rechner!$C$18+Rechner!$C$19)/12)*NPER(B21/12,-(Rechner!$H$10*(Rechner!$C$18+Rechner!$C$19)/12),C21)-C21))))</f>
        <v/>
      </c>
      <c r="H21" s="28">
        <f>-(C21-I21)</f>
        <v/>
      </c>
      <c r="I21" s="28">
        <f>IF(C21&lt;=0,0,IF(B21=0,MAX(0,C21-12*(Rechner!$H$10*(Rechner!$C$18+Rechner!$C$19)/12)),MAX(0,(C21*(1+B21/12)^12-(Rechner!$H$10*(Rechner!$C$18+Rechner!$C$19)/12)*((1+B21/12)^12-1)/(B21/12)))))</f>
        <v/>
      </c>
      <c r="J21" s="28">
        <f>D21+E21+F21+G21+H21</f>
        <v/>
      </c>
      <c r="K21" s="27">
        <f>-Rechner!$H$28*(A21&lt;=1/Rechner!$C$27)</f>
        <v/>
      </c>
      <c r="L21" s="28">
        <f>-(D21+E21+F21+G21+K21)*Rechner!$C$28</f>
        <v/>
      </c>
      <c r="M21" s="29">
        <f>J21+L21</f>
        <v/>
      </c>
      <c r="N21" s="28">
        <f>N20+M21</f>
        <v/>
      </c>
      <c r="O21" s="27">
        <f>Rechner!$C$6*(1+Rechner!$C$32)^A21</f>
        <v/>
      </c>
      <c r="P21" s="29">
        <f>O21-I21</f>
        <v/>
      </c>
    </row>
    <row r="22">
      <c r="A22" s="5" t="n">
        <v>18</v>
      </c>
      <c r="B22" s="26">
        <f>IF(A22&lt;=Rechner!$C$20,Rechner!$C$18,Rechner!$C$21)</f>
        <v/>
      </c>
      <c r="C22" s="28">
        <f>I21</f>
        <v/>
      </c>
      <c r="D22" s="27">
        <f>Rechner!$H$7*12*(1+Rechner!$C$30)^(A22-1)</f>
        <v/>
      </c>
      <c r="E22" s="27">
        <f>-D22*Rechner!$C$25</f>
        <v/>
      </c>
      <c r="F22" s="27">
        <f>(Rechner!$H$15+Rechner!$H$16)*12*(1+Rechner!$C$31)^(A22-1)</f>
        <v/>
      </c>
      <c r="G22" s="28">
        <f>IF(C22&lt;=0,0,IF(I22&gt;0,-(12*(Rechner!$H$10*(Rechner!$C$18+Rechner!$C$19)/12)-(C22-I22)),IF(B22=0,0,-((Rechner!$H$10*(Rechner!$C$18+Rechner!$C$19)/12)*NPER(B22/12,-(Rechner!$H$10*(Rechner!$C$18+Rechner!$C$19)/12),C22)-C22))))</f>
        <v/>
      </c>
      <c r="H22" s="28">
        <f>-(C22-I22)</f>
        <v/>
      </c>
      <c r="I22" s="28">
        <f>IF(C22&lt;=0,0,IF(B22=0,MAX(0,C22-12*(Rechner!$H$10*(Rechner!$C$18+Rechner!$C$19)/12)),MAX(0,(C22*(1+B22/12)^12-(Rechner!$H$10*(Rechner!$C$18+Rechner!$C$19)/12)*((1+B22/12)^12-1)/(B22/12)))))</f>
        <v/>
      </c>
      <c r="J22" s="28">
        <f>D22+E22+F22+G22+H22</f>
        <v/>
      </c>
      <c r="K22" s="27">
        <f>-Rechner!$H$28*(A22&lt;=1/Rechner!$C$27)</f>
        <v/>
      </c>
      <c r="L22" s="28">
        <f>-(D22+E22+F22+G22+K22)*Rechner!$C$28</f>
        <v/>
      </c>
      <c r="M22" s="29">
        <f>J22+L22</f>
        <v/>
      </c>
      <c r="N22" s="28">
        <f>N21+M22</f>
        <v/>
      </c>
      <c r="O22" s="27">
        <f>Rechner!$C$6*(1+Rechner!$C$32)^A22</f>
        <v/>
      </c>
      <c r="P22" s="29">
        <f>O22-I22</f>
        <v/>
      </c>
    </row>
    <row r="23">
      <c r="A23" s="5" t="n">
        <v>19</v>
      </c>
      <c r="B23" s="26">
        <f>IF(A23&lt;=Rechner!$C$20,Rechner!$C$18,Rechner!$C$21)</f>
        <v/>
      </c>
      <c r="C23" s="28">
        <f>I22</f>
        <v/>
      </c>
      <c r="D23" s="27">
        <f>Rechner!$H$7*12*(1+Rechner!$C$30)^(A23-1)</f>
        <v/>
      </c>
      <c r="E23" s="27">
        <f>-D23*Rechner!$C$25</f>
        <v/>
      </c>
      <c r="F23" s="27">
        <f>(Rechner!$H$15+Rechner!$H$16)*12*(1+Rechner!$C$31)^(A23-1)</f>
        <v/>
      </c>
      <c r="G23" s="28">
        <f>IF(C23&lt;=0,0,IF(I23&gt;0,-(12*(Rechner!$H$10*(Rechner!$C$18+Rechner!$C$19)/12)-(C23-I23)),IF(B23=0,0,-((Rechner!$H$10*(Rechner!$C$18+Rechner!$C$19)/12)*NPER(B23/12,-(Rechner!$H$10*(Rechner!$C$18+Rechner!$C$19)/12),C23)-C23))))</f>
        <v/>
      </c>
      <c r="H23" s="28">
        <f>-(C23-I23)</f>
        <v/>
      </c>
      <c r="I23" s="28">
        <f>IF(C23&lt;=0,0,IF(B23=0,MAX(0,C23-12*(Rechner!$H$10*(Rechner!$C$18+Rechner!$C$19)/12)),MAX(0,(C23*(1+B23/12)^12-(Rechner!$H$10*(Rechner!$C$18+Rechner!$C$19)/12)*((1+B23/12)^12-1)/(B23/12)))))</f>
        <v/>
      </c>
      <c r="J23" s="28">
        <f>D23+E23+F23+G23+H23</f>
        <v/>
      </c>
      <c r="K23" s="27">
        <f>-Rechner!$H$28*(A23&lt;=1/Rechner!$C$27)</f>
        <v/>
      </c>
      <c r="L23" s="28">
        <f>-(D23+E23+F23+G23+K23)*Rechner!$C$28</f>
        <v/>
      </c>
      <c r="M23" s="29">
        <f>J23+L23</f>
        <v/>
      </c>
      <c r="N23" s="28">
        <f>N22+M23</f>
        <v/>
      </c>
      <c r="O23" s="27">
        <f>Rechner!$C$6*(1+Rechner!$C$32)^A23</f>
        <v/>
      </c>
      <c r="P23" s="29">
        <f>O23-I23</f>
        <v/>
      </c>
    </row>
    <row r="24">
      <c r="A24" s="5" t="n">
        <v>20</v>
      </c>
      <c r="B24" s="26">
        <f>IF(A24&lt;=Rechner!$C$20,Rechner!$C$18,Rechner!$C$21)</f>
        <v/>
      </c>
      <c r="C24" s="28">
        <f>I23</f>
        <v/>
      </c>
      <c r="D24" s="27">
        <f>Rechner!$H$7*12*(1+Rechner!$C$30)^(A24-1)</f>
        <v/>
      </c>
      <c r="E24" s="27">
        <f>-D24*Rechner!$C$25</f>
        <v/>
      </c>
      <c r="F24" s="27">
        <f>(Rechner!$H$15+Rechner!$H$16)*12*(1+Rechner!$C$31)^(A24-1)</f>
        <v/>
      </c>
      <c r="G24" s="28">
        <f>IF(C24&lt;=0,0,IF(I24&gt;0,-(12*(Rechner!$H$10*(Rechner!$C$18+Rechner!$C$19)/12)-(C24-I24)),IF(B24=0,0,-((Rechner!$H$10*(Rechner!$C$18+Rechner!$C$19)/12)*NPER(B24/12,-(Rechner!$H$10*(Rechner!$C$18+Rechner!$C$19)/12),C24)-C24))))</f>
        <v/>
      </c>
      <c r="H24" s="28">
        <f>-(C24-I24)</f>
        <v/>
      </c>
      <c r="I24" s="28">
        <f>IF(C24&lt;=0,0,IF(B24=0,MAX(0,C24-12*(Rechner!$H$10*(Rechner!$C$18+Rechner!$C$19)/12)),MAX(0,(C24*(1+B24/12)^12-(Rechner!$H$10*(Rechner!$C$18+Rechner!$C$19)/12)*((1+B24/12)^12-1)/(B24/12)))))</f>
        <v/>
      </c>
      <c r="J24" s="28">
        <f>D24+E24+F24+G24+H24</f>
        <v/>
      </c>
      <c r="K24" s="27">
        <f>-Rechner!$H$28*(A24&lt;=1/Rechner!$C$27)</f>
        <v/>
      </c>
      <c r="L24" s="28">
        <f>-(D24+E24+F24+G24+K24)*Rechner!$C$28</f>
        <v/>
      </c>
      <c r="M24" s="29">
        <f>J24+L24</f>
        <v/>
      </c>
      <c r="N24" s="28">
        <f>N23+M24</f>
        <v/>
      </c>
      <c r="O24" s="27">
        <f>Rechner!$C$6*(1+Rechner!$C$32)^A24</f>
        <v/>
      </c>
      <c r="P24" s="29">
        <f>O24-I24</f>
        <v/>
      </c>
    </row>
    <row r="25">
      <c r="A25" s="5" t="n">
        <v>21</v>
      </c>
      <c r="B25" s="26">
        <f>IF(A25&lt;=Rechner!$C$20,Rechner!$C$18,Rechner!$C$21)</f>
        <v/>
      </c>
      <c r="C25" s="28">
        <f>I24</f>
        <v/>
      </c>
      <c r="D25" s="27">
        <f>Rechner!$H$7*12*(1+Rechner!$C$30)^(A25-1)</f>
        <v/>
      </c>
      <c r="E25" s="27">
        <f>-D25*Rechner!$C$25</f>
        <v/>
      </c>
      <c r="F25" s="27">
        <f>(Rechner!$H$15+Rechner!$H$16)*12*(1+Rechner!$C$31)^(A25-1)</f>
        <v/>
      </c>
      <c r="G25" s="28">
        <f>IF(C25&lt;=0,0,IF(I25&gt;0,-(12*(Rechner!$H$10*(Rechner!$C$18+Rechner!$C$19)/12)-(C25-I25)),IF(B25=0,0,-((Rechner!$H$10*(Rechner!$C$18+Rechner!$C$19)/12)*NPER(B25/12,-(Rechner!$H$10*(Rechner!$C$18+Rechner!$C$19)/12),C25)-C25))))</f>
        <v/>
      </c>
      <c r="H25" s="28">
        <f>-(C25-I25)</f>
        <v/>
      </c>
      <c r="I25" s="28">
        <f>IF(C25&lt;=0,0,IF(B25=0,MAX(0,C25-12*(Rechner!$H$10*(Rechner!$C$18+Rechner!$C$19)/12)),MAX(0,(C25*(1+B25/12)^12-(Rechner!$H$10*(Rechner!$C$18+Rechner!$C$19)/12)*((1+B25/12)^12-1)/(B25/12)))))</f>
        <v/>
      </c>
      <c r="J25" s="28">
        <f>D25+E25+F25+G25+H25</f>
        <v/>
      </c>
      <c r="K25" s="27">
        <f>-Rechner!$H$28*(A25&lt;=1/Rechner!$C$27)</f>
        <v/>
      </c>
      <c r="L25" s="28">
        <f>-(D25+E25+F25+G25+K25)*Rechner!$C$28</f>
        <v/>
      </c>
      <c r="M25" s="29">
        <f>J25+L25</f>
        <v/>
      </c>
      <c r="N25" s="28">
        <f>N24+M25</f>
        <v/>
      </c>
      <c r="O25" s="27">
        <f>Rechner!$C$6*(1+Rechner!$C$32)^A25</f>
        <v/>
      </c>
      <c r="P25" s="29">
        <f>O25-I25</f>
        <v/>
      </c>
    </row>
    <row r="26">
      <c r="A26" s="5" t="n">
        <v>22</v>
      </c>
      <c r="B26" s="26">
        <f>IF(A26&lt;=Rechner!$C$20,Rechner!$C$18,Rechner!$C$21)</f>
        <v/>
      </c>
      <c r="C26" s="28">
        <f>I25</f>
        <v/>
      </c>
      <c r="D26" s="27">
        <f>Rechner!$H$7*12*(1+Rechner!$C$30)^(A26-1)</f>
        <v/>
      </c>
      <c r="E26" s="27">
        <f>-D26*Rechner!$C$25</f>
        <v/>
      </c>
      <c r="F26" s="27">
        <f>(Rechner!$H$15+Rechner!$H$16)*12*(1+Rechner!$C$31)^(A26-1)</f>
        <v/>
      </c>
      <c r="G26" s="28">
        <f>IF(C26&lt;=0,0,IF(I26&gt;0,-(12*(Rechner!$H$10*(Rechner!$C$18+Rechner!$C$19)/12)-(C26-I26)),IF(B26=0,0,-((Rechner!$H$10*(Rechner!$C$18+Rechner!$C$19)/12)*NPER(B26/12,-(Rechner!$H$10*(Rechner!$C$18+Rechner!$C$19)/12),C26)-C26))))</f>
        <v/>
      </c>
      <c r="H26" s="28">
        <f>-(C26-I26)</f>
        <v/>
      </c>
      <c r="I26" s="28">
        <f>IF(C26&lt;=0,0,IF(B26=0,MAX(0,C26-12*(Rechner!$H$10*(Rechner!$C$18+Rechner!$C$19)/12)),MAX(0,(C26*(1+B26/12)^12-(Rechner!$H$10*(Rechner!$C$18+Rechner!$C$19)/12)*((1+B26/12)^12-1)/(B26/12)))))</f>
        <v/>
      </c>
      <c r="J26" s="28">
        <f>D26+E26+F26+G26+H26</f>
        <v/>
      </c>
      <c r="K26" s="27">
        <f>-Rechner!$H$28*(A26&lt;=1/Rechner!$C$27)</f>
        <v/>
      </c>
      <c r="L26" s="28">
        <f>-(D26+E26+F26+G26+K26)*Rechner!$C$28</f>
        <v/>
      </c>
      <c r="M26" s="29">
        <f>J26+L26</f>
        <v/>
      </c>
      <c r="N26" s="28">
        <f>N25+M26</f>
        <v/>
      </c>
      <c r="O26" s="27">
        <f>Rechner!$C$6*(1+Rechner!$C$32)^A26</f>
        <v/>
      </c>
      <c r="P26" s="29">
        <f>O26-I26</f>
        <v/>
      </c>
    </row>
    <row r="27">
      <c r="A27" s="5" t="n">
        <v>23</v>
      </c>
      <c r="B27" s="26">
        <f>IF(A27&lt;=Rechner!$C$20,Rechner!$C$18,Rechner!$C$21)</f>
        <v/>
      </c>
      <c r="C27" s="28">
        <f>I26</f>
        <v/>
      </c>
      <c r="D27" s="27">
        <f>Rechner!$H$7*12*(1+Rechner!$C$30)^(A27-1)</f>
        <v/>
      </c>
      <c r="E27" s="27">
        <f>-D27*Rechner!$C$25</f>
        <v/>
      </c>
      <c r="F27" s="27">
        <f>(Rechner!$H$15+Rechner!$H$16)*12*(1+Rechner!$C$31)^(A27-1)</f>
        <v/>
      </c>
      <c r="G27" s="28">
        <f>IF(C27&lt;=0,0,IF(I27&gt;0,-(12*(Rechner!$H$10*(Rechner!$C$18+Rechner!$C$19)/12)-(C27-I27)),IF(B27=0,0,-((Rechner!$H$10*(Rechner!$C$18+Rechner!$C$19)/12)*NPER(B27/12,-(Rechner!$H$10*(Rechner!$C$18+Rechner!$C$19)/12),C27)-C27))))</f>
        <v/>
      </c>
      <c r="H27" s="28">
        <f>-(C27-I27)</f>
        <v/>
      </c>
      <c r="I27" s="28">
        <f>IF(C27&lt;=0,0,IF(B27=0,MAX(0,C27-12*(Rechner!$H$10*(Rechner!$C$18+Rechner!$C$19)/12)),MAX(0,(C27*(1+B27/12)^12-(Rechner!$H$10*(Rechner!$C$18+Rechner!$C$19)/12)*((1+B27/12)^12-1)/(B27/12)))))</f>
        <v/>
      </c>
      <c r="J27" s="28">
        <f>D27+E27+F27+G27+H27</f>
        <v/>
      </c>
      <c r="K27" s="27">
        <f>-Rechner!$H$28*(A27&lt;=1/Rechner!$C$27)</f>
        <v/>
      </c>
      <c r="L27" s="28">
        <f>-(D27+E27+F27+G27+K27)*Rechner!$C$28</f>
        <v/>
      </c>
      <c r="M27" s="29">
        <f>J27+L27</f>
        <v/>
      </c>
      <c r="N27" s="28">
        <f>N26+M27</f>
        <v/>
      </c>
      <c r="O27" s="27">
        <f>Rechner!$C$6*(1+Rechner!$C$32)^A27</f>
        <v/>
      </c>
      <c r="P27" s="29">
        <f>O27-I27</f>
        <v/>
      </c>
    </row>
    <row r="28">
      <c r="A28" s="5" t="n">
        <v>24</v>
      </c>
      <c r="B28" s="26">
        <f>IF(A28&lt;=Rechner!$C$20,Rechner!$C$18,Rechner!$C$21)</f>
        <v/>
      </c>
      <c r="C28" s="28">
        <f>I27</f>
        <v/>
      </c>
      <c r="D28" s="27">
        <f>Rechner!$H$7*12*(1+Rechner!$C$30)^(A28-1)</f>
        <v/>
      </c>
      <c r="E28" s="27">
        <f>-D28*Rechner!$C$25</f>
        <v/>
      </c>
      <c r="F28" s="27">
        <f>(Rechner!$H$15+Rechner!$H$16)*12*(1+Rechner!$C$31)^(A28-1)</f>
        <v/>
      </c>
      <c r="G28" s="28">
        <f>IF(C28&lt;=0,0,IF(I28&gt;0,-(12*(Rechner!$H$10*(Rechner!$C$18+Rechner!$C$19)/12)-(C28-I28)),IF(B28=0,0,-((Rechner!$H$10*(Rechner!$C$18+Rechner!$C$19)/12)*NPER(B28/12,-(Rechner!$H$10*(Rechner!$C$18+Rechner!$C$19)/12),C28)-C28))))</f>
        <v/>
      </c>
      <c r="H28" s="28">
        <f>-(C28-I28)</f>
        <v/>
      </c>
      <c r="I28" s="28">
        <f>IF(C28&lt;=0,0,IF(B28=0,MAX(0,C28-12*(Rechner!$H$10*(Rechner!$C$18+Rechner!$C$19)/12)),MAX(0,(C28*(1+B28/12)^12-(Rechner!$H$10*(Rechner!$C$18+Rechner!$C$19)/12)*((1+B28/12)^12-1)/(B28/12)))))</f>
        <v/>
      </c>
      <c r="J28" s="28">
        <f>D28+E28+F28+G28+H28</f>
        <v/>
      </c>
      <c r="K28" s="27">
        <f>-Rechner!$H$28*(A28&lt;=1/Rechner!$C$27)</f>
        <v/>
      </c>
      <c r="L28" s="28">
        <f>-(D28+E28+F28+G28+K28)*Rechner!$C$28</f>
        <v/>
      </c>
      <c r="M28" s="29">
        <f>J28+L28</f>
        <v/>
      </c>
      <c r="N28" s="28">
        <f>N27+M28</f>
        <v/>
      </c>
      <c r="O28" s="27">
        <f>Rechner!$C$6*(1+Rechner!$C$32)^A28</f>
        <v/>
      </c>
      <c r="P28" s="29">
        <f>O28-I28</f>
        <v/>
      </c>
    </row>
    <row r="29">
      <c r="A29" s="5" t="n">
        <v>25</v>
      </c>
      <c r="B29" s="26">
        <f>IF(A29&lt;=Rechner!$C$20,Rechner!$C$18,Rechner!$C$21)</f>
        <v/>
      </c>
      <c r="C29" s="28">
        <f>I28</f>
        <v/>
      </c>
      <c r="D29" s="27">
        <f>Rechner!$H$7*12*(1+Rechner!$C$30)^(A29-1)</f>
        <v/>
      </c>
      <c r="E29" s="27">
        <f>-D29*Rechner!$C$25</f>
        <v/>
      </c>
      <c r="F29" s="27">
        <f>(Rechner!$H$15+Rechner!$H$16)*12*(1+Rechner!$C$31)^(A29-1)</f>
        <v/>
      </c>
      <c r="G29" s="28">
        <f>IF(C29&lt;=0,0,IF(I29&gt;0,-(12*(Rechner!$H$10*(Rechner!$C$18+Rechner!$C$19)/12)-(C29-I29)),IF(B29=0,0,-((Rechner!$H$10*(Rechner!$C$18+Rechner!$C$19)/12)*NPER(B29/12,-(Rechner!$H$10*(Rechner!$C$18+Rechner!$C$19)/12),C29)-C29))))</f>
        <v/>
      </c>
      <c r="H29" s="28">
        <f>-(C29-I29)</f>
        <v/>
      </c>
      <c r="I29" s="28">
        <f>IF(C29&lt;=0,0,IF(B29=0,MAX(0,C29-12*(Rechner!$H$10*(Rechner!$C$18+Rechner!$C$19)/12)),MAX(0,(C29*(1+B29/12)^12-(Rechner!$H$10*(Rechner!$C$18+Rechner!$C$19)/12)*((1+B29/12)^12-1)/(B29/12)))))</f>
        <v/>
      </c>
      <c r="J29" s="28">
        <f>D29+E29+F29+G29+H29</f>
        <v/>
      </c>
      <c r="K29" s="27">
        <f>-Rechner!$H$28*(A29&lt;=1/Rechner!$C$27)</f>
        <v/>
      </c>
      <c r="L29" s="28">
        <f>-(D29+E29+F29+G29+K29)*Rechner!$C$28</f>
        <v/>
      </c>
      <c r="M29" s="29">
        <f>J29+L29</f>
        <v/>
      </c>
      <c r="N29" s="28">
        <f>N28+M29</f>
        <v/>
      </c>
      <c r="O29" s="27">
        <f>Rechner!$C$6*(1+Rechner!$C$32)^A29</f>
        <v/>
      </c>
      <c r="P29" s="29">
        <f>O29-I29</f>
        <v/>
      </c>
    </row>
    <row r="30">
      <c r="A30" s="5" t="n">
        <v>26</v>
      </c>
      <c r="B30" s="26">
        <f>IF(A30&lt;=Rechner!$C$20,Rechner!$C$18,Rechner!$C$21)</f>
        <v/>
      </c>
      <c r="C30" s="28">
        <f>I29</f>
        <v/>
      </c>
      <c r="D30" s="27">
        <f>Rechner!$H$7*12*(1+Rechner!$C$30)^(A30-1)</f>
        <v/>
      </c>
      <c r="E30" s="27">
        <f>-D30*Rechner!$C$25</f>
        <v/>
      </c>
      <c r="F30" s="27">
        <f>(Rechner!$H$15+Rechner!$H$16)*12*(1+Rechner!$C$31)^(A30-1)</f>
        <v/>
      </c>
      <c r="G30" s="28">
        <f>IF(C30&lt;=0,0,IF(I30&gt;0,-(12*(Rechner!$H$10*(Rechner!$C$18+Rechner!$C$19)/12)-(C30-I30)),IF(B30=0,0,-((Rechner!$H$10*(Rechner!$C$18+Rechner!$C$19)/12)*NPER(B30/12,-(Rechner!$H$10*(Rechner!$C$18+Rechner!$C$19)/12),C30)-C30))))</f>
        <v/>
      </c>
      <c r="H30" s="28">
        <f>-(C30-I30)</f>
        <v/>
      </c>
      <c r="I30" s="28">
        <f>IF(C30&lt;=0,0,IF(B30=0,MAX(0,C30-12*(Rechner!$H$10*(Rechner!$C$18+Rechner!$C$19)/12)),MAX(0,(C30*(1+B30/12)^12-(Rechner!$H$10*(Rechner!$C$18+Rechner!$C$19)/12)*((1+B30/12)^12-1)/(B30/12)))))</f>
        <v/>
      </c>
      <c r="J30" s="28">
        <f>D30+E30+F30+G30+H30</f>
        <v/>
      </c>
      <c r="K30" s="27">
        <f>-Rechner!$H$28*(A30&lt;=1/Rechner!$C$27)</f>
        <v/>
      </c>
      <c r="L30" s="28">
        <f>-(D30+E30+F30+G30+K30)*Rechner!$C$28</f>
        <v/>
      </c>
      <c r="M30" s="29">
        <f>J30+L30</f>
        <v/>
      </c>
      <c r="N30" s="28">
        <f>N29+M30</f>
        <v/>
      </c>
      <c r="O30" s="27">
        <f>Rechner!$C$6*(1+Rechner!$C$32)^A30</f>
        <v/>
      </c>
      <c r="P30" s="29">
        <f>O30-I30</f>
        <v/>
      </c>
    </row>
    <row r="31">
      <c r="A31" s="5" t="n">
        <v>27</v>
      </c>
      <c r="B31" s="26">
        <f>IF(A31&lt;=Rechner!$C$20,Rechner!$C$18,Rechner!$C$21)</f>
        <v/>
      </c>
      <c r="C31" s="28">
        <f>I30</f>
        <v/>
      </c>
      <c r="D31" s="27">
        <f>Rechner!$H$7*12*(1+Rechner!$C$30)^(A31-1)</f>
        <v/>
      </c>
      <c r="E31" s="27">
        <f>-D31*Rechner!$C$25</f>
        <v/>
      </c>
      <c r="F31" s="27">
        <f>(Rechner!$H$15+Rechner!$H$16)*12*(1+Rechner!$C$31)^(A31-1)</f>
        <v/>
      </c>
      <c r="G31" s="28">
        <f>IF(C31&lt;=0,0,IF(I31&gt;0,-(12*(Rechner!$H$10*(Rechner!$C$18+Rechner!$C$19)/12)-(C31-I31)),IF(B31=0,0,-((Rechner!$H$10*(Rechner!$C$18+Rechner!$C$19)/12)*NPER(B31/12,-(Rechner!$H$10*(Rechner!$C$18+Rechner!$C$19)/12),C31)-C31))))</f>
        <v/>
      </c>
      <c r="H31" s="28">
        <f>-(C31-I31)</f>
        <v/>
      </c>
      <c r="I31" s="28">
        <f>IF(C31&lt;=0,0,IF(B31=0,MAX(0,C31-12*(Rechner!$H$10*(Rechner!$C$18+Rechner!$C$19)/12)),MAX(0,(C31*(1+B31/12)^12-(Rechner!$H$10*(Rechner!$C$18+Rechner!$C$19)/12)*((1+B31/12)^12-1)/(B31/12)))))</f>
        <v/>
      </c>
      <c r="J31" s="28">
        <f>D31+E31+F31+G31+H31</f>
        <v/>
      </c>
      <c r="K31" s="27">
        <f>-Rechner!$H$28*(A31&lt;=1/Rechner!$C$27)</f>
        <v/>
      </c>
      <c r="L31" s="28">
        <f>-(D31+E31+F31+G31+K31)*Rechner!$C$28</f>
        <v/>
      </c>
      <c r="M31" s="29">
        <f>J31+L31</f>
        <v/>
      </c>
      <c r="N31" s="28">
        <f>N30+M31</f>
        <v/>
      </c>
      <c r="O31" s="27">
        <f>Rechner!$C$6*(1+Rechner!$C$32)^A31</f>
        <v/>
      </c>
      <c r="P31" s="29">
        <f>O31-I31</f>
        <v/>
      </c>
    </row>
    <row r="32">
      <c r="A32" s="5" t="n">
        <v>28</v>
      </c>
      <c r="B32" s="26">
        <f>IF(A32&lt;=Rechner!$C$20,Rechner!$C$18,Rechner!$C$21)</f>
        <v/>
      </c>
      <c r="C32" s="28">
        <f>I31</f>
        <v/>
      </c>
      <c r="D32" s="27">
        <f>Rechner!$H$7*12*(1+Rechner!$C$30)^(A32-1)</f>
        <v/>
      </c>
      <c r="E32" s="27">
        <f>-D32*Rechner!$C$25</f>
        <v/>
      </c>
      <c r="F32" s="27">
        <f>(Rechner!$H$15+Rechner!$H$16)*12*(1+Rechner!$C$31)^(A32-1)</f>
        <v/>
      </c>
      <c r="G32" s="28">
        <f>IF(C32&lt;=0,0,IF(I32&gt;0,-(12*(Rechner!$H$10*(Rechner!$C$18+Rechner!$C$19)/12)-(C32-I32)),IF(B32=0,0,-((Rechner!$H$10*(Rechner!$C$18+Rechner!$C$19)/12)*NPER(B32/12,-(Rechner!$H$10*(Rechner!$C$18+Rechner!$C$19)/12),C32)-C32))))</f>
        <v/>
      </c>
      <c r="H32" s="28">
        <f>-(C32-I32)</f>
        <v/>
      </c>
      <c r="I32" s="28">
        <f>IF(C32&lt;=0,0,IF(B32=0,MAX(0,C32-12*(Rechner!$H$10*(Rechner!$C$18+Rechner!$C$19)/12)),MAX(0,(C32*(1+B32/12)^12-(Rechner!$H$10*(Rechner!$C$18+Rechner!$C$19)/12)*((1+B32/12)^12-1)/(B32/12)))))</f>
        <v/>
      </c>
      <c r="J32" s="28">
        <f>D32+E32+F32+G32+H32</f>
        <v/>
      </c>
      <c r="K32" s="27">
        <f>-Rechner!$H$28*(A32&lt;=1/Rechner!$C$27)</f>
        <v/>
      </c>
      <c r="L32" s="28">
        <f>-(D32+E32+F32+G32+K32)*Rechner!$C$28</f>
        <v/>
      </c>
      <c r="M32" s="29">
        <f>J32+L32</f>
        <v/>
      </c>
      <c r="N32" s="28">
        <f>N31+M32</f>
        <v/>
      </c>
      <c r="O32" s="27">
        <f>Rechner!$C$6*(1+Rechner!$C$32)^A32</f>
        <v/>
      </c>
      <c r="P32" s="29">
        <f>O32-I32</f>
        <v/>
      </c>
    </row>
    <row r="33">
      <c r="A33" s="5" t="n">
        <v>29</v>
      </c>
      <c r="B33" s="26">
        <f>IF(A33&lt;=Rechner!$C$20,Rechner!$C$18,Rechner!$C$21)</f>
        <v/>
      </c>
      <c r="C33" s="28">
        <f>I32</f>
        <v/>
      </c>
      <c r="D33" s="27">
        <f>Rechner!$H$7*12*(1+Rechner!$C$30)^(A33-1)</f>
        <v/>
      </c>
      <c r="E33" s="27">
        <f>-D33*Rechner!$C$25</f>
        <v/>
      </c>
      <c r="F33" s="27">
        <f>(Rechner!$H$15+Rechner!$H$16)*12*(1+Rechner!$C$31)^(A33-1)</f>
        <v/>
      </c>
      <c r="G33" s="28">
        <f>IF(C33&lt;=0,0,IF(I33&gt;0,-(12*(Rechner!$H$10*(Rechner!$C$18+Rechner!$C$19)/12)-(C33-I33)),IF(B33=0,0,-((Rechner!$H$10*(Rechner!$C$18+Rechner!$C$19)/12)*NPER(B33/12,-(Rechner!$H$10*(Rechner!$C$18+Rechner!$C$19)/12),C33)-C33))))</f>
        <v/>
      </c>
      <c r="H33" s="28">
        <f>-(C33-I33)</f>
        <v/>
      </c>
      <c r="I33" s="28">
        <f>IF(C33&lt;=0,0,IF(B33=0,MAX(0,C33-12*(Rechner!$H$10*(Rechner!$C$18+Rechner!$C$19)/12)),MAX(0,(C33*(1+B33/12)^12-(Rechner!$H$10*(Rechner!$C$18+Rechner!$C$19)/12)*((1+B33/12)^12-1)/(B33/12)))))</f>
        <v/>
      </c>
      <c r="J33" s="28">
        <f>D33+E33+F33+G33+H33</f>
        <v/>
      </c>
      <c r="K33" s="27">
        <f>-Rechner!$H$28*(A33&lt;=1/Rechner!$C$27)</f>
        <v/>
      </c>
      <c r="L33" s="28">
        <f>-(D33+E33+F33+G33+K33)*Rechner!$C$28</f>
        <v/>
      </c>
      <c r="M33" s="29">
        <f>J33+L33</f>
        <v/>
      </c>
      <c r="N33" s="28">
        <f>N32+M33</f>
        <v/>
      </c>
      <c r="O33" s="27">
        <f>Rechner!$C$6*(1+Rechner!$C$32)^A33</f>
        <v/>
      </c>
      <c r="P33" s="29">
        <f>O33-I33</f>
        <v/>
      </c>
    </row>
    <row r="34">
      <c r="A34" s="5" t="n">
        <v>30</v>
      </c>
      <c r="B34" s="26">
        <f>IF(A34&lt;=Rechner!$C$20,Rechner!$C$18,Rechner!$C$21)</f>
        <v/>
      </c>
      <c r="C34" s="28">
        <f>I33</f>
        <v/>
      </c>
      <c r="D34" s="27">
        <f>Rechner!$H$7*12*(1+Rechner!$C$30)^(A34-1)</f>
        <v/>
      </c>
      <c r="E34" s="27">
        <f>-D34*Rechner!$C$25</f>
        <v/>
      </c>
      <c r="F34" s="27">
        <f>(Rechner!$H$15+Rechner!$H$16)*12*(1+Rechner!$C$31)^(A34-1)</f>
        <v/>
      </c>
      <c r="G34" s="28">
        <f>IF(C34&lt;=0,0,IF(I34&gt;0,-(12*(Rechner!$H$10*(Rechner!$C$18+Rechner!$C$19)/12)-(C34-I34)),IF(B34=0,0,-((Rechner!$H$10*(Rechner!$C$18+Rechner!$C$19)/12)*NPER(B34/12,-(Rechner!$H$10*(Rechner!$C$18+Rechner!$C$19)/12),C34)-C34))))</f>
        <v/>
      </c>
      <c r="H34" s="28">
        <f>-(C34-I34)</f>
        <v/>
      </c>
      <c r="I34" s="28">
        <f>IF(C34&lt;=0,0,IF(B34=0,MAX(0,C34-12*(Rechner!$H$10*(Rechner!$C$18+Rechner!$C$19)/12)),MAX(0,(C34*(1+B34/12)^12-(Rechner!$H$10*(Rechner!$C$18+Rechner!$C$19)/12)*((1+B34/12)^12-1)/(B34/12)))))</f>
        <v/>
      </c>
      <c r="J34" s="28">
        <f>D34+E34+F34+G34+H34</f>
        <v/>
      </c>
      <c r="K34" s="27">
        <f>-Rechner!$H$28*(A34&lt;=1/Rechner!$C$27)</f>
        <v/>
      </c>
      <c r="L34" s="28">
        <f>-(D34+E34+F34+G34+K34)*Rechner!$C$28</f>
        <v/>
      </c>
      <c r="M34" s="29">
        <f>J34+L34</f>
        <v/>
      </c>
      <c r="N34" s="28">
        <f>N33+M34</f>
        <v/>
      </c>
      <c r="O34" s="27">
        <f>Rechner!$C$6*(1+Rechner!$C$32)^A34</f>
        <v/>
      </c>
      <c r="P34" s="29">
        <f>O34-I34</f>
        <v/>
      </c>
    </row>
    <row r="36">
      <c r="A36" s="2" t="inlineStr">
        <is>
          <t>Beige hinterlegter Zinssatz = nach Ende der Zinsbindung (Anschlusszins). Jahr 1 entspricht dem Monatswert im Rechner × 12.</t>
        </is>
      </c>
    </row>
  </sheetData>
  <conditionalFormatting sqref="M5:N34">
    <cfRule type="cellIs" priority="1" operator="lessThan" dxfId="2">
      <formula>0</formula>
    </cfRule>
  </conditionalFormatting>
  <conditionalFormatting sqref="B5:B34">
    <cfRule type="expression" priority="2" dxfId="3">
      <formula>A5&gt;Rechner!$C$20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24" t="inlineStr">
        <is>
          <t>Fernere Lebenserwartung (Frauen, gerundet)</t>
        </is>
      </c>
    </row>
    <row r="2">
      <c r="A2" s="2" t="inlineStr">
        <is>
          <t>Quelle: Statistisches Bundesamt (Destatis), Sterbetafel 2021/23, gerundete Näherungswerte. Frauenwert = vorsichtige (längere) Annahme.</t>
        </is>
      </c>
    </row>
    <row r="3">
      <c r="A3" s="3" t="inlineStr">
        <is>
          <t>Alter</t>
        </is>
      </c>
      <c r="B3" s="3" t="inlineStr">
        <is>
          <t>Weitere Lebensjahre</t>
        </is>
      </c>
    </row>
    <row r="4">
      <c r="A4" s="30" t="n">
        <v>60</v>
      </c>
      <c r="B4" s="31" t="n">
        <v>25</v>
      </c>
    </row>
    <row r="5">
      <c r="A5" s="30" t="n">
        <v>65</v>
      </c>
      <c r="B5" s="31" t="n">
        <v>20.9</v>
      </c>
    </row>
    <row r="6">
      <c r="A6" s="30" t="n">
        <v>70</v>
      </c>
      <c r="B6" s="31" t="n">
        <v>16.9</v>
      </c>
    </row>
    <row r="7">
      <c r="A7" s="30" t="n">
        <v>75</v>
      </c>
      <c r="B7" s="31" t="n">
        <v>13.2</v>
      </c>
    </row>
    <row r="8">
      <c r="A8" s="30" t="n">
        <v>80</v>
      </c>
      <c r="B8" s="31" t="n">
        <v>9.800000000000001</v>
      </c>
    </row>
    <row r="9">
      <c r="A9" s="30" t="n">
        <v>85</v>
      </c>
      <c r="B9" s="31" t="n">
        <v>6.9</v>
      </c>
    </row>
    <row r="10">
      <c r="A10" s="30" t="n">
        <v>90</v>
      </c>
      <c r="B10" s="31" t="n">
        <v>4.6</v>
      </c>
    </row>
    <row r="11">
      <c r="A11" s="30" t="n">
        <v>95</v>
      </c>
      <c r="B11" s="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2026-09-27T19:59:12Z</dcterms:created>
  <dcterms:modified xmlns:dcterms="http://purl.org/dc/terms/" xmlns:xsi="http://www.w3.org/2001/XMLSchema-instance" xsi:type="dcterms:W3CDTF">2026-09-27T19:59:12Z</dcterms:modified>
</cp:coreProperties>
</file>