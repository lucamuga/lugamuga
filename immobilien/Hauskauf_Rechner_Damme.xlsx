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hner" sheetId="1" state="visible" r:id="rId1"/>
    <sheet xmlns:r="http://schemas.openxmlformats.org/officeDocument/2006/relationships" name="Prognose" sheetId="2" state="visible" r:id="rId2"/>
    <sheet xmlns:r="http://schemas.openxmlformats.org/officeDocument/2006/relationships" name="Lebenserwartu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€;-#,##0 €;&quot;-&quot;"/>
    <numFmt numFmtId="165" formatCode="#,##0.00 €;-#,##0.00 €;&quot;-&quot;"/>
    <numFmt numFmtId="166" formatCode="0.0%;-0.0%;&quot;-&quot;"/>
    <numFmt numFmtId="167" formatCode="0.00%;-0.00%;&quot;-&quot;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C2430"/>
      <sz val="15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  <font>
      <name val="Arial"/>
      <b val="1"/>
      <sz val="14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9E3B24"/>
      </patternFill>
    </fill>
    <fill>
      <patternFill patternType="solid">
        <fgColor rgb="00FFFF00"/>
      </patternFill>
    </fill>
    <fill>
      <patternFill patternType="solid">
        <fgColor rgb="00F5E6E0"/>
      </patternFill>
    </fill>
  </fills>
  <borders count="2">
    <border>
      <left/>
      <right/>
      <top/>
      <bottom/>
      <diagonal/>
    </border>
    <border>
      <top style="thin">
        <color rgb="00BBBBBB"/>
      </top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164" fontId="5" fillId="3" borderId="0" pivotButton="0" quotePrefix="0" xfId="0"/>
    <xf numFmtId="164" fontId="4" fillId="0" borderId="0" applyAlignment="1" pivotButton="0" quotePrefix="0" xfId="0">
      <alignment horizontal="right"/>
    </xf>
    <xf numFmtId="1" fontId="5" fillId="3" borderId="0" pivotButton="0" quotePrefix="0" xfId="0"/>
    <xf numFmtId="165" fontId="5" fillId="3" borderId="0" pivotButton="0" quotePrefix="0" xfId="0"/>
    <xf numFmtId="166" fontId="5" fillId="3" borderId="0" pivotButton="0" quotePrefix="0" xfId="0"/>
    <xf numFmtId="0" fontId="6" fillId="0" borderId="0" pivotButton="0" quotePrefix="0" xfId="0"/>
    <xf numFmtId="164" fontId="6" fillId="0" borderId="1" applyAlignment="1" pivotButton="0" quotePrefix="0" xfId="0">
      <alignment horizontal="right"/>
    </xf>
    <xf numFmtId="167" fontId="5" fillId="3" borderId="0" pivotButton="0" quotePrefix="0" xfId="0"/>
    <xf numFmtId="0" fontId="6" fillId="4" borderId="0" pivotButton="0" quotePrefix="0" xfId="0"/>
    <xf numFmtId="164" fontId="7" fillId="4" borderId="0" applyAlignment="1" pivotButton="0" quotePrefix="0" xfId="0">
      <alignment horizontal="right"/>
    </xf>
    <xf numFmtId="168" fontId="4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4" fontId="6" fillId="4" borderId="0" applyAlignment="1" pivotButton="0" quotePrefix="0" xfId="0">
      <alignment horizontal="right"/>
    </xf>
    <xf numFmtId="0" fontId="0" fillId="4" borderId="0" pivotButton="0" quotePrefix="0" xfId="0"/>
    <xf numFmtId="0" fontId="4" fillId="0" borderId="0" applyAlignment="1" pivotButton="0" quotePrefix="0" xfId="0">
      <alignment horizontal="right"/>
    </xf>
    <xf numFmtId="0" fontId="8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9" fillId="0" borderId="0" pivotButton="0" quotePrefix="0" xfId="0"/>
    <xf numFmtId="164" fontId="4" fillId="0" borderId="0" pivotButton="0" quotePrefix="0" xfId="0"/>
    <xf numFmtId="164" fontId="6" fillId="0" borderId="0" pivotButton="0" quotePrefix="0" xfId="0"/>
    <xf numFmtId="0" fontId="5" fillId="0" borderId="0" pivotButton="0" quotePrefix="0" xfId="0"/>
    <xf numFmtId="168" fontId="5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2E7A4B"/>
      </font>
    </dxf>
    <dxf>
      <font>
        <name val="Arial"/>
        <b val="1"/>
        <color rgb="009A620F"/>
      </font>
    </dxf>
    <dxf>
      <font>
        <name val="Arial"/>
        <b val="1"/>
        <color rgb="00B3362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Rechner</author>
  </authors>
  <commentList>
    <comment ref="H29" authorId="0" shapeId="0">
      <text>
        <t>Vereinfacht: (Miete − Ausfall − Instandhaltung − sonstige Kosten) − Zinsen − AfA, × Steuersatz. Negativ = Steuererstattung.</t>
      </text>
    </comment>
    <comment ref="H32" authorId="0" shapeId="0">
      <text>
        <t>Der Cashflow hängt linear vom Kaufpreis ab. Dieser Wert ist der Preis, bei dem der Cashflow nach Steuern genau 0 € wäre (gleiches Eigenkapital, Darlehen &gt; 0).</t>
      </text>
    </comment>
    <comment ref="H38" authorId="0" shapeId="0">
      <text>
        <t>Fernere Lebenserwartung Frauen (vorsichtiger, längerer Wert), gerundet nach Sterbetafel Destatis 2021/23, linear interpoliert. Siehe Blatt Lebenserwartung.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6" customWidth="1" min="4" max="4"/>
    <col width="44" customWidth="1" min="5" max="5"/>
    <col width="3" customWidth="1" min="6" max="6"/>
    <col width="36" customWidth="1" min="7" max="7"/>
    <col width="16" customWidth="1" min="8" max="8"/>
    <col width="30" customWidth="1" min="9" max="9"/>
  </cols>
  <sheetData>
    <row r="1">
      <c r="B1" s="1" t="inlineStr">
        <is>
          <t>Hauskauf-Rechner Damme – Verkauf mit Rückmietung</t>
        </is>
      </c>
    </row>
    <row r="2">
      <c r="B2" s="2" t="inlineStr">
        <is>
          <t>Nur die gelben Felder mit blauer Schrift ändern. Alle anderen Werte werden berechnet. Vorbelegt: Beispielhaus Damme (keine echten Objektdaten).</t>
        </is>
      </c>
    </row>
    <row r="5">
      <c r="B5" s="3" t="inlineStr">
        <is>
          <t>Objekt</t>
        </is>
      </c>
      <c r="C5" s="4" t="n"/>
      <c r="D5" s="4" t="n"/>
      <c r="E5" s="4" t="n"/>
      <c r="G5" s="3" t="inlineStr">
        <is>
          <t>Ergebnis</t>
        </is>
      </c>
      <c r="H5" s="4" t="n"/>
      <c r="I5" s="4" t="n"/>
    </row>
    <row r="6">
      <c r="B6" s="5" t="inlineStr">
        <is>
          <t>Kaufpreis</t>
        </is>
      </c>
      <c r="C6" s="6" t="n">
        <v>260000</v>
      </c>
      <c r="D6" s="2" t="inlineStr">
        <is>
          <t>€</t>
        </is>
      </c>
      <c r="E6" s="2" t="inlineStr">
        <is>
          <t>Verhandelter Kaufpreis</t>
        </is>
      </c>
      <c r="G6" s="5" t="inlineStr">
        <is>
          <t>Kaltmiete Verkäufer / Monat</t>
        </is>
      </c>
      <c r="H6" s="7">
        <f>C7*C8</f>
        <v/>
      </c>
    </row>
    <row r="7">
      <c r="B7" s="5" t="inlineStr">
        <is>
          <t>Wohnfläche Verkäufer</t>
        </is>
      </c>
      <c r="C7" s="8" t="n">
        <v>125</v>
      </c>
      <c r="D7" s="2" t="inlineStr">
        <is>
          <t>m²</t>
        </is>
      </c>
      <c r="E7" s="2" t="inlineStr">
        <is>
          <t>Fläche der Wohnung, in der der Verkäufer bleibt</t>
        </is>
      </c>
      <c r="G7" s="5" t="inlineStr">
        <is>
          <t>Kaltmiete gesamt / Monat</t>
        </is>
      </c>
      <c r="H7" s="7">
        <f>H6+C11</f>
        <v/>
      </c>
    </row>
    <row r="8">
      <c r="B8" s="5" t="inlineStr">
        <is>
          <t>Kaltmiete Verkäufer</t>
        </is>
      </c>
      <c r="C8" s="9" t="n">
        <v>7.5</v>
      </c>
      <c r="D8" s="2" t="inlineStr">
        <is>
          <t>€/m²</t>
        </is>
      </c>
      <c r="E8" s="2" t="inlineStr">
        <is>
          <t>Damme 2026: ca. 7,15–9,90 €/m² (Mietspiegel-Portale)</t>
        </is>
      </c>
      <c r="G8" s="5" t="inlineStr">
        <is>
          <t>Kaufnebenkosten</t>
        </is>
      </c>
      <c r="H8" s="7">
        <f>C6*(C13+C14+C15)</f>
        <v/>
      </c>
    </row>
    <row r="9">
      <c r="B9" s="5" t="inlineStr">
        <is>
          <t>Sofort-Investitionen</t>
        </is>
      </c>
      <c r="C9" s="6" t="n">
        <v>0</v>
      </c>
      <c r="D9" s="2" t="inlineStr">
        <is>
          <t>€</t>
        </is>
      </c>
      <c r="E9" s="2" t="inlineStr">
        <is>
          <t>z. B. Heizung, GEG-Pflichten nach Eigentümerwechsel</t>
        </is>
      </c>
      <c r="G9" s="5" t="inlineStr">
        <is>
          <t>Gesamtinvestition</t>
        </is>
      </c>
      <c r="H9" s="7">
        <f>C6+H8+C9</f>
        <v/>
      </c>
    </row>
    <row r="10">
      <c r="B10" s="5" t="inlineStr">
        <is>
          <t>Einliegerwohnung Fläche</t>
        </is>
      </c>
      <c r="C10" s="8" t="n">
        <v>0</v>
      </c>
      <c r="D10" s="2" t="inlineStr">
        <is>
          <t>m²</t>
        </is>
      </c>
      <c r="E10" s="2" t="inlineStr">
        <is>
          <t>0, wenn keine vorhanden</t>
        </is>
      </c>
      <c r="G10" s="5" t="inlineStr">
        <is>
          <t>Darlehen</t>
        </is>
      </c>
      <c r="H10" s="7">
        <f>MAX(0,H9-C17)</f>
        <v/>
      </c>
    </row>
    <row r="11">
      <c r="B11" s="5" t="inlineStr">
        <is>
          <t>Einliegerwohnung Miete</t>
        </is>
      </c>
      <c r="C11" s="6" t="n">
        <v>0</v>
      </c>
      <c r="D11" s="2" t="inlineStr">
        <is>
          <t>€/Monat</t>
        </is>
      </c>
      <c r="E11" s="2" t="inlineStr">
        <is>
          <t>Kaltmiete der zweiten Einheit</t>
        </is>
      </c>
      <c r="G11" s="3" t="inlineStr">
        <is>
          <t>Monatliche Rechnung (1. Jahr)</t>
        </is>
      </c>
      <c r="H11" s="4" t="n"/>
      <c r="I11" s="4" t="n"/>
    </row>
    <row r="12">
      <c r="B12" s="3" t="inlineStr">
        <is>
          <t>Kaufnebenkosten</t>
        </is>
      </c>
      <c r="C12" s="4" t="n"/>
      <c r="D12" s="4" t="n"/>
      <c r="E12" s="4" t="n"/>
      <c r="G12" s="5" t="inlineStr">
        <is>
          <t>Kaltmiete</t>
        </is>
      </c>
      <c r="H12" s="7">
        <f>H7</f>
        <v/>
      </c>
    </row>
    <row r="13">
      <c r="B13" s="5" t="inlineStr">
        <is>
          <t>Grunderwerbsteuer</t>
        </is>
      </c>
      <c r="C13" s="10" t="n">
        <v>0.05</v>
      </c>
      <c r="D13" s="2" t="inlineStr">
        <is>
          <t>%</t>
        </is>
      </c>
      <c r="E13" s="2" t="inlineStr">
        <is>
          <t>Niedersachsen: 5 %</t>
        </is>
      </c>
      <c r="G13" s="5" t="inlineStr">
        <is>
          <t>Mietausfall-Reserve</t>
        </is>
      </c>
      <c r="H13" s="7">
        <f>-H7*C23</f>
        <v/>
      </c>
    </row>
    <row r="14">
      <c r="B14" s="5" t="inlineStr">
        <is>
          <t>Notar &amp; Grundbuch</t>
        </is>
      </c>
      <c r="C14" s="10" t="n">
        <v>0.02</v>
      </c>
      <c r="D14" s="2" t="inlineStr">
        <is>
          <t>%</t>
        </is>
      </c>
      <c r="E14" s="2" t="inlineStr">
        <is>
          <t>üblich ca. 1,5–2 %</t>
        </is>
      </c>
      <c r="G14" s="5" t="inlineStr">
        <is>
          <t>Kreditrate (Zins + Tilgung)</t>
        </is>
      </c>
      <c r="H14" s="7">
        <f>-H10*(C18+C19)/12</f>
        <v/>
      </c>
    </row>
    <row r="15">
      <c r="B15" s="5" t="inlineStr">
        <is>
          <t>Makler</t>
        </is>
      </c>
      <c r="C15" s="10" t="n">
        <v>0</v>
      </c>
      <c r="D15" s="2" t="inlineStr">
        <is>
          <t>%</t>
        </is>
      </c>
      <c r="E15" s="2" t="inlineStr">
        <is>
          <t>bei Direktkauf 0 %</t>
        </is>
      </c>
      <c r="G15" s="5" t="inlineStr">
        <is>
          <t>Instandhaltungsrücklage</t>
        </is>
      </c>
      <c r="H15" s="7">
        <f>-(C7+C10)*C21/12</f>
        <v/>
      </c>
    </row>
    <row r="16">
      <c r="B16" s="3" t="inlineStr">
        <is>
          <t>Finanzierung</t>
        </is>
      </c>
      <c r="C16" s="4" t="n"/>
      <c r="D16" s="4" t="n"/>
      <c r="E16" s="4" t="n"/>
      <c r="G16" s="5" t="inlineStr">
        <is>
          <t>Nicht umlagefähige Kosten</t>
        </is>
      </c>
      <c r="H16" s="7">
        <f>-C22</f>
        <v/>
      </c>
    </row>
    <row r="17">
      <c r="B17" s="5" t="inlineStr">
        <is>
          <t>Eigenkapital</t>
        </is>
      </c>
      <c r="C17" s="6" t="n">
        <v>55000</v>
      </c>
      <c r="D17" s="2" t="inlineStr">
        <is>
          <t>€</t>
        </is>
      </c>
      <c r="E17" s="2" t="inlineStr">
        <is>
          <t>eingesetztes Eigenkapital</t>
        </is>
      </c>
      <c r="G17" s="11" t="inlineStr">
        <is>
          <t>Cashflow vor Steuern</t>
        </is>
      </c>
      <c r="H17" s="12">
        <f>SUM(H12:H16)</f>
        <v/>
      </c>
    </row>
    <row r="18">
      <c r="B18" s="5" t="inlineStr">
        <is>
          <t>Sollzins</t>
        </is>
      </c>
      <c r="C18" s="13" t="n">
        <v>0.038</v>
      </c>
      <c r="D18" s="2" t="inlineStr">
        <is>
          <t>% p. a.</t>
        </is>
      </c>
      <c r="E18" s="2" t="inlineStr">
        <is>
          <t>Annahme; aktuelles Bankangebot eintragen</t>
        </is>
      </c>
      <c r="G18" s="5" t="inlineStr">
        <is>
          <t>Steuereffekt (+ = Ersparnis)</t>
        </is>
      </c>
      <c r="H18" s="7">
        <f>-H29/12</f>
        <v/>
      </c>
    </row>
    <row r="19">
      <c r="B19" s="5" t="inlineStr">
        <is>
          <t>Anfängliche Tilgung</t>
        </is>
      </c>
      <c r="C19" s="13" t="n">
        <v>0.02</v>
      </c>
      <c r="D19" s="2" t="inlineStr">
        <is>
          <t>% p. a.</t>
        </is>
      </c>
      <c r="E19" s="2" t="inlineStr"/>
      <c r="G19" s="14" t="inlineStr">
        <is>
          <t>CASHFLOW NACH STEUERN / MONAT</t>
        </is>
      </c>
      <c r="H19" s="15">
        <f>H17+H18</f>
        <v/>
      </c>
      <c r="I19" s="14">
        <f>IF(H19&gt;=0,"Trägt sich selbst",IF(H19&gt;=-150,"Leichter Zuschuss nötig","Deutlicher Zuschuss nötig"))</f>
        <v/>
      </c>
    </row>
    <row r="20">
      <c r="B20" s="3" t="inlineStr">
        <is>
          <t>Laufende Kosten &amp; Steuer</t>
        </is>
      </c>
      <c r="C20" s="4" t="n"/>
      <c r="D20" s="4" t="n"/>
      <c r="E20" s="4" t="n"/>
      <c r="G20" s="3" t="inlineStr">
        <is>
          <t>Kennzahlen</t>
        </is>
      </c>
      <c r="H20" s="4" t="n"/>
      <c r="I20" s="4" t="n"/>
    </row>
    <row r="21">
      <c r="B21" s="5" t="inlineStr">
        <is>
          <t>Instandhaltung</t>
        </is>
      </c>
      <c r="C21" s="9" t="n">
        <v>14</v>
      </c>
      <c r="D21" s="2" t="inlineStr">
        <is>
          <t>€/m² · Jahr</t>
        </is>
      </c>
      <c r="E21" s="2" t="inlineStr">
        <is>
          <t>Altbau: ca. 12–18 €</t>
        </is>
      </c>
      <c r="G21" s="5" t="inlineStr">
        <is>
          <t>Kaufpreisfaktor</t>
        </is>
      </c>
      <c r="H21" s="16">
        <f>IFERROR(C6/(H7*12),0)</f>
        <v/>
      </c>
      <c r="I21" s="11">
        <f>IF(H21&lt;=18,"günstig",IF(H21&lt;=22,"mittel","teuer"))</f>
        <v/>
      </c>
    </row>
    <row r="22">
      <c r="B22" s="5" t="inlineStr">
        <is>
          <t>Nicht umlagefähige Kosten</t>
        </is>
      </c>
      <c r="C22" s="6" t="n">
        <v>20</v>
      </c>
      <c r="D22" s="2" t="inlineStr">
        <is>
          <t>€/Monat</t>
        </is>
      </c>
      <c r="E22" s="2" t="inlineStr">
        <is>
          <t>Verwaltung, Bankgebühren</t>
        </is>
      </c>
      <c r="G22" s="5" t="inlineStr">
        <is>
          <t>Bruttomietrendite</t>
        </is>
      </c>
      <c r="H22" s="17">
        <f>IFERROR(H7*12/C6,0)</f>
        <v/>
      </c>
    </row>
    <row r="23">
      <c r="B23" s="5" t="inlineStr">
        <is>
          <t>Mietausfall-Reserve</t>
        </is>
      </c>
      <c r="C23" s="10" t="n">
        <v>0.02</v>
      </c>
      <c r="D23" s="2" t="inlineStr">
        <is>
          <t>% der Miete</t>
        </is>
      </c>
      <c r="E23" s="2" t="inlineStr"/>
      <c r="G23" s="5" t="inlineStr">
        <is>
          <t>Nettomietrendite</t>
        </is>
      </c>
      <c r="H23" s="17">
        <f>IFERROR((H12+H13+H15+H16)*12/H9,0)</f>
        <v/>
      </c>
    </row>
    <row r="24">
      <c r="B24" s="5" t="inlineStr">
        <is>
          <t>Gebäudeanteil</t>
        </is>
      </c>
      <c r="C24" s="10" t="n">
        <v>0.7</v>
      </c>
      <c r="D24" s="2" t="inlineStr">
        <is>
          <t>% vom Kaufpreis</t>
        </is>
      </c>
      <c r="E24" s="2" t="inlineStr">
        <is>
          <t>Rest = Grundstück (nicht abschreibbar)</t>
        </is>
      </c>
      <c r="G24" s="5" t="inlineStr">
        <is>
          <t>Eigenkapitalrendite (CF + Tilgung)</t>
        </is>
      </c>
      <c r="H24" s="18">
        <f>IFERROR((H19*12+H30)/C17,0)</f>
        <v/>
      </c>
    </row>
    <row r="25">
      <c r="B25" s="5" t="inlineStr">
        <is>
          <t>AfA-Satz</t>
        </is>
      </c>
      <c r="C25" s="10" t="n">
        <v>0.02</v>
      </c>
      <c r="D25" s="2" t="inlineStr">
        <is>
          <t>% p. a.</t>
        </is>
      </c>
      <c r="E25" s="2" t="inlineStr">
        <is>
          <t>Baujahr 1925–2022: 2 %</t>
        </is>
      </c>
      <c r="G25" s="3" t="inlineStr">
        <is>
          <t>Steuer 1. Jahr (vereinfacht)</t>
        </is>
      </c>
      <c r="H25" s="4" t="n"/>
      <c r="I25" s="4" t="n"/>
    </row>
    <row r="26">
      <c r="B26" s="5" t="inlineStr">
        <is>
          <t>Persönlicher Steuersatz</t>
        </is>
      </c>
      <c r="C26" s="10" t="n">
        <v>0.3</v>
      </c>
      <c r="D26" s="2" t="inlineStr">
        <is>
          <t>%</t>
        </is>
      </c>
      <c r="E26" s="2" t="inlineStr">
        <is>
          <t>Grenzsteuersatz</t>
        </is>
      </c>
      <c r="G26" s="5" t="inlineStr">
        <is>
          <t>Zinsen Jahr 1</t>
        </is>
      </c>
      <c r="H26" s="7">
        <f>H10*C18</f>
        <v/>
      </c>
    </row>
    <row r="27">
      <c r="B27" s="3" t="inlineStr">
        <is>
          <t>Entwicklung (für Blatt Prognose)</t>
        </is>
      </c>
      <c r="C27" s="4" t="n"/>
      <c r="D27" s="4" t="n"/>
      <c r="E27" s="4" t="n"/>
      <c r="G27" s="5" t="inlineStr">
        <is>
          <t>AfA pro Jahr</t>
        </is>
      </c>
      <c r="H27" s="7">
        <f>((C6+H8)*C24+C9)*C25</f>
        <v/>
      </c>
    </row>
    <row r="28">
      <c r="B28" s="5" t="inlineStr">
        <is>
          <t>Mietsteigerung</t>
        </is>
      </c>
      <c r="C28" s="10" t="n">
        <v>0.015</v>
      </c>
      <c r="D28" s="2" t="inlineStr">
        <is>
          <t>% p. a.</t>
        </is>
      </c>
      <c r="E28" s="2" t="inlineStr">
        <is>
          <t>Annahme</t>
        </is>
      </c>
      <c r="G28" s="5" t="inlineStr">
        <is>
          <t>Steuerliches Ergebnis</t>
        </is>
      </c>
      <c r="H28" s="7">
        <f>(H12+H13+H15+H16)*12-H26-H27</f>
        <v/>
      </c>
    </row>
    <row r="29">
      <c r="B29" s="5" t="inlineStr">
        <is>
          <t>Wertsteigerung</t>
        </is>
      </c>
      <c r="C29" s="10" t="n">
        <v>0.015</v>
      </c>
      <c r="D29" s="2" t="inlineStr">
        <is>
          <t>% p. a.</t>
        </is>
      </c>
      <c r="E29" s="2" t="inlineStr">
        <is>
          <t>Annahme</t>
        </is>
      </c>
      <c r="G29" s="5" t="inlineStr">
        <is>
          <t>Steuer (+ zahlen / − Erstattung)</t>
        </is>
      </c>
      <c r="H29" s="7">
        <f>H28*C26</f>
        <v/>
      </c>
    </row>
    <row r="30">
      <c r="B30" s="3" t="inlineStr">
        <is>
          <t>Verkäufer</t>
        </is>
      </c>
      <c r="C30" s="4" t="n"/>
      <c r="D30" s="4" t="n"/>
      <c r="E30" s="4" t="n"/>
      <c r="G30" s="5" t="inlineStr">
        <is>
          <t>Tilgung Jahr 1 (Vermögensaufbau)</t>
        </is>
      </c>
      <c r="H30" s="7">
        <f>H10*C19</f>
        <v/>
      </c>
    </row>
    <row r="31">
      <c r="B31" s="5" t="inlineStr">
        <is>
          <t>Alter (jüngste Person)</t>
        </is>
      </c>
      <c r="C31" s="8" t="n">
        <v>75</v>
      </c>
      <c r="D31" s="2" t="inlineStr">
        <is>
          <t>Jahre</t>
        </is>
      </c>
      <c r="E31" s="2" t="inlineStr"/>
      <c r="G31" s="3" t="inlineStr">
        <is>
          <t>Maximaler Kaufpreis</t>
        </is>
      </c>
      <c r="H31" s="4" t="n"/>
      <c r="I31" s="4" t="n"/>
    </row>
    <row r="32">
      <c r="B32" s="5" t="inlineStr">
        <is>
          <t>Zins auf sein Kapital</t>
        </is>
      </c>
      <c r="C32" s="10" t="n">
        <v>0.025</v>
      </c>
      <c r="D32" s="2" t="inlineStr">
        <is>
          <t>% p. a.</t>
        </is>
      </c>
      <c r="E32" s="2" t="inlineStr">
        <is>
          <t>Tagesgeld/Anleihen, Annahme</t>
        </is>
      </c>
      <c r="G32" s="14" t="inlineStr">
        <is>
          <t>Max. Kaufpreis für Cashflow ≥ 0</t>
        </is>
      </c>
      <c r="H32" s="19">
        <f>IFERROR(MAX(0,C6+H19/((1+C13+C14+C15)/12*((C18+C19)-C26*(C18+C24*C25)))),0)</f>
        <v/>
      </c>
      <c r="I32" s="20" t="n"/>
    </row>
    <row r="33">
      <c r="G33" s="5" t="inlineStr">
        <is>
          <t>Nötiger Abschlag</t>
        </is>
      </c>
      <c r="H33" s="7">
        <f>MAX(0,C6-H32)</f>
        <v/>
      </c>
    </row>
    <row r="34">
      <c r="G34" s="5" t="inlineStr">
        <is>
          <t>Nötiger Abschlag in %</t>
        </is>
      </c>
      <c r="H34" s="18">
        <f>IFERROR(H33/C6,0)</f>
        <v/>
      </c>
      <c r="I34" s="11">
        <f>IF(H33=0,"Preis passt","so viel Abschlag bräuchtest du")</f>
        <v/>
      </c>
    </row>
    <row r="35">
      <c r="G35" s="3" t="inlineStr">
        <is>
          <t>Sicht des Verkäufers</t>
        </is>
      </c>
      <c r="H35" s="4" t="n"/>
      <c r="I35" s="4" t="n"/>
    </row>
    <row r="36">
      <c r="G36" s="5" t="inlineStr">
        <is>
          <t>Erlös für den Verkäufer</t>
        </is>
      </c>
      <c r="H36" s="7">
        <f>C6</f>
        <v/>
      </c>
    </row>
    <row r="37">
      <c r="G37" s="5" t="inlineStr">
        <is>
          <t>Seine Miete pro Jahr</t>
        </is>
      </c>
      <c r="H37" s="7">
        <f>H6*12</f>
        <v/>
      </c>
    </row>
    <row r="38">
      <c r="G38" s="5" t="inlineStr">
        <is>
          <t>Lebenserwartung (Jahre, ca.)</t>
        </is>
      </c>
      <c r="H38" s="16">
        <f>INDEX(Lebenserwartung!$B$4:$B$11,MATCH(MIN(MAX(C31,60),94.99),Lebenserwartung!$A$4:$A$11,1))+(INDEX(Lebenserwartung!$B$4:$B$11,MATCH(MIN(MAX(C31,60),94.99),Lebenserwartung!$A$4:$A$11,1)+1)-INDEX(Lebenserwartung!$B$4:$B$11,MATCH(MIN(MAX(C31,60),94.99),Lebenserwartung!$A$4:$A$11,1)))*(MIN(MAX(C31,60),95)-INDEX(Lebenserwartung!$A$4:$A$11,MATCH(MIN(MAX(C31,60),94.99),Lebenserwartung!$A$4:$A$11,1)))/5</f>
        <v/>
      </c>
    </row>
    <row r="39">
      <c r="G39" s="5" t="inlineStr">
        <is>
          <t>So lange reicht das Geld (Jahre)</t>
        </is>
      </c>
      <c r="H39" s="16">
        <f>IF(H37&lt;=C6*C32,"unbegrenzt",IF(C32=0,C6/H37,NPER(C32,-H37,C6)))</f>
        <v/>
      </c>
    </row>
    <row r="40">
      <c r="G40" s="5" t="inlineStr">
        <is>
          <t>Rest nach Lebenserwartung</t>
        </is>
      </c>
      <c r="H40" s="7">
        <f>MAX(0,IF(C32=0,C6-H37*H38,FV(C32,H38,H37,-C6)))</f>
        <v/>
      </c>
    </row>
    <row r="41">
      <c r="G41" s="5" t="inlineStr">
        <is>
          <t>Bewertung</t>
        </is>
      </c>
      <c r="H41" s="21">
        <f>IF(H39="unbegrenzt","Geld reicht sicher",IF(H39&gt;H38,"Geld reicht sicher","Achtung: Geld reicht voraussichtlich nicht"))</f>
        <v/>
      </c>
    </row>
    <row r="44">
      <c r="B44" s="11" t="inlineStr">
        <is>
          <t>Hinweise:</t>
        </is>
      </c>
    </row>
    <row r="45">
      <c r="B45" s="2" t="inlineStr">
        <is>
          <t>• Kreditrate = Annuität aus Sollzins + anfänglicher Tilgung. Zinsen Jahr 1 vereinfacht = Darlehen × Zins.</t>
        </is>
      </c>
    </row>
    <row r="46">
      <c r="B46" s="2" t="inlineStr">
        <is>
          <t>• AfA = Gebäudeanteil von Kaufpreis + Nebenkosten × AfA-Satz; Sofort-Investitionen vereinfacht mit abgeschrieben.</t>
        </is>
      </c>
    </row>
    <row r="47">
      <c r="B47" s="2" t="inlineStr">
        <is>
          <t>• Kaufpreisfaktor: bis 18 günstig, 18–22 mittel, über 22 teuer (Faustregel ländliche Lage).</t>
        </is>
      </c>
    </row>
    <row r="48">
      <c r="B48" s="2" t="inlineStr">
        <is>
          <t>• Keine Steuer- oder Rechtsberatung. Vor dem Kauf Bank, Steuerberater und Notar einbeziehen.</t>
        </is>
      </c>
    </row>
  </sheetData>
  <conditionalFormatting sqref="H19:I19">
    <cfRule type="expression" priority="1" dxfId="0">
      <formula>$H$19&gt;=0</formula>
    </cfRule>
    <cfRule type="expression" priority="2" dxfId="1">
      <formula>AND($H$19&lt;0,$H$19&gt;=-150)</formula>
    </cfRule>
    <cfRule type="expression" priority="3" dxfId="2">
      <formula>$H$19&lt;-150</formula>
    </cfRule>
  </conditionalFormatting>
  <conditionalFormatting sqref="I21">
    <cfRule type="expression" priority="4" dxfId="0">
      <formula>$H$21&lt;=18</formula>
    </cfRule>
    <cfRule type="expression" priority="5" dxfId="1">
      <formula>AND($H$21&gt;18,$H$21&lt;=22)</formula>
    </cfRule>
    <cfRule type="expression" priority="6" dxfId="2">
      <formula>$H$21&gt;22</formula>
    </cfRule>
  </conditionalFormatting>
  <conditionalFormatting sqref="H41">
    <cfRule type="expression" priority="7" dxfId="2">
      <formula>LEFT($H$41,7)="Achtung"</formula>
    </cfRule>
    <cfRule type="expression" priority="8" dxfId="0">
      <formula>LEFT($H$41,7)&lt;&gt;"Achtung"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22" t="inlineStr">
        <is>
          <t>Prognose über 20 Jahre (Werte pro Jahr)</t>
        </is>
      </c>
    </row>
    <row r="2">
      <c r="A2" s="2" t="inlineStr">
        <is>
          <t>Basiert auf den Eingaben im Blatt Rechner. Miete steigt mit der Mietsteigerung, Kosten bleiben konstant (vereinfacht).</t>
        </is>
      </c>
    </row>
    <row r="4" ht="30" customHeight="1">
      <c r="A4" s="23" t="inlineStr">
        <is>
          <t>Jahr</t>
        </is>
      </c>
      <c r="B4" s="23" t="inlineStr">
        <is>
          <t>Restschuld Anfang</t>
        </is>
      </c>
      <c r="C4" s="23" t="inlineStr">
        <is>
          <t>Kaltmiete</t>
        </is>
      </c>
      <c r="D4" s="23" t="inlineStr">
        <is>
          <t>Mietausfall</t>
        </is>
      </c>
      <c r="E4" s="23" t="inlineStr">
        <is>
          <t>Instandh. + Kosten</t>
        </is>
      </c>
      <c r="F4" s="23" t="inlineStr">
        <is>
          <t>Zinsen</t>
        </is>
      </c>
      <c r="G4" s="23" t="inlineStr">
        <is>
          <t>Tilgung</t>
        </is>
      </c>
      <c r="H4" s="23" t="inlineStr">
        <is>
          <t>Restschuld Ende</t>
        </is>
      </c>
      <c r="I4" s="23" t="inlineStr">
        <is>
          <t>Cashflow vor Steuern</t>
        </is>
      </c>
      <c r="J4" s="23" t="inlineStr">
        <is>
          <t>AfA</t>
        </is>
      </c>
      <c r="K4" s="23" t="inlineStr">
        <is>
          <t>Steuereffekt</t>
        </is>
      </c>
      <c r="L4" s="23" t="inlineStr">
        <is>
          <t>Cashflow nach Steuern</t>
        </is>
      </c>
      <c r="M4" s="23" t="inlineStr">
        <is>
          <t>Kumulierter Cashflow</t>
        </is>
      </c>
      <c r="N4" s="23" t="inlineStr">
        <is>
          <t>Immobilienwert</t>
        </is>
      </c>
      <c r="O4" s="23" t="inlineStr">
        <is>
          <t>Eigenkapital im Objekt</t>
        </is>
      </c>
    </row>
    <row r="5">
      <c r="A5" s="5" t="n">
        <v>1</v>
      </c>
      <c r="B5" s="24">
        <f>Rechner!$H$10</f>
        <v/>
      </c>
      <c r="C5" s="24">
        <f>Rechner!$H$7*12*(1+Rechner!$C$28)^(A5-1)</f>
        <v/>
      </c>
      <c r="D5" s="24">
        <f>-C5*Rechner!$C$23</f>
        <v/>
      </c>
      <c r="E5" s="24">
        <f>(Rechner!$H$15+Rechner!$H$16)*12</f>
        <v/>
      </c>
      <c r="F5" s="24">
        <f>-B5*Rechner!$C$18</f>
        <v/>
      </c>
      <c r="G5" s="25">
        <f>-MIN(B5,Rechner!$H$10*(Rechner!$C$18+Rechner!$C$19)+F5)</f>
        <v/>
      </c>
      <c r="H5" s="25">
        <f>B5+G5</f>
        <v/>
      </c>
      <c r="I5" s="25">
        <f>C5+D5+E5+F5+G5</f>
        <v/>
      </c>
      <c r="J5" s="24">
        <f>-Rechner!$H$27</f>
        <v/>
      </c>
      <c r="K5" s="25">
        <f>-(C5+D5+E5+F5+J5)*Rechner!$C$26</f>
        <v/>
      </c>
      <c r="L5" s="26">
        <f>I5+K5</f>
        <v/>
      </c>
      <c r="M5" s="25">
        <f>L5</f>
        <v/>
      </c>
      <c r="N5" s="24">
        <f>Rechner!$C$6*(1+Rechner!$C$29)^A5</f>
        <v/>
      </c>
      <c r="O5" s="26">
        <f>N5-H5</f>
        <v/>
      </c>
    </row>
    <row r="6">
      <c r="A6" s="5" t="n">
        <v>2</v>
      </c>
      <c r="B6" s="25">
        <f>H5</f>
        <v/>
      </c>
      <c r="C6" s="24">
        <f>Rechner!$H$7*12*(1+Rechner!$C$28)^(A6-1)</f>
        <v/>
      </c>
      <c r="D6" s="24">
        <f>-C6*Rechner!$C$23</f>
        <v/>
      </c>
      <c r="E6" s="24">
        <f>(Rechner!$H$15+Rechner!$H$16)*12</f>
        <v/>
      </c>
      <c r="F6" s="24">
        <f>-B6*Rechner!$C$18</f>
        <v/>
      </c>
      <c r="G6" s="25">
        <f>-MIN(B6,Rechner!$H$10*(Rechner!$C$18+Rechner!$C$19)+F6)</f>
        <v/>
      </c>
      <c r="H6" s="25">
        <f>B6+G6</f>
        <v/>
      </c>
      <c r="I6" s="25">
        <f>C6+D6+E6+F6+G6</f>
        <v/>
      </c>
      <c r="J6" s="24">
        <f>-Rechner!$H$27</f>
        <v/>
      </c>
      <c r="K6" s="25">
        <f>-(C6+D6+E6+F6+J6)*Rechner!$C$26</f>
        <v/>
      </c>
      <c r="L6" s="26">
        <f>I6+K6</f>
        <v/>
      </c>
      <c r="M6" s="25">
        <f>M5+L6</f>
        <v/>
      </c>
      <c r="N6" s="24">
        <f>Rechner!$C$6*(1+Rechner!$C$29)^A6</f>
        <v/>
      </c>
      <c r="O6" s="26">
        <f>N6-H6</f>
        <v/>
      </c>
    </row>
    <row r="7">
      <c r="A7" s="5" t="n">
        <v>3</v>
      </c>
      <c r="B7" s="25">
        <f>H6</f>
        <v/>
      </c>
      <c r="C7" s="24">
        <f>Rechner!$H$7*12*(1+Rechner!$C$28)^(A7-1)</f>
        <v/>
      </c>
      <c r="D7" s="24">
        <f>-C7*Rechner!$C$23</f>
        <v/>
      </c>
      <c r="E7" s="24">
        <f>(Rechner!$H$15+Rechner!$H$16)*12</f>
        <v/>
      </c>
      <c r="F7" s="24">
        <f>-B7*Rechner!$C$18</f>
        <v/>
      </c>
      <c r="G7" s="25">
        <f>-MIN(B7,Rechner!$H$10*(Rechner!$C$18+Rechner!$C$19)+F7)</f>
        <v/>
      </c>
      <c r="H7" s="25">
        <f>B7+G7</f>
        <v/>
      </c>
      <c r="I7" s="25">
        <f>C7+D7+E7+F7+G7</f>
        <v/>
      </c>
      <c r="J7" s="24">
        <f>-Rechner!$H$27</f>
        <v/>
      </c>
      <c r="K7" s="25">
        <f>-(C7+D7+E7+F7+J7)*Rechner!$C$26</f>
        <v/>
      </c>
      <c r="L7" s="26">
        <f>I7+K7</f>
        <v/>
      </c>
      <c r="M7" s="25">
        <f>M6+L7</f>
        <v/>
      </c>
      <c r="N7" s="24">
        <f>Rechner!$C$6*(1+Rechner!$C$29)^A7</f>
        <v/>
      </c>
      <c r="O7" s="26">
        <f>N7-H7</f>
        <v/>
      </c>
    </row>
    <row r="8">
      <c r="A8" s="5" t="n">
        <v>4</v>
      </c>
      <c r="B8" s="25">
        <f>H7</f>
        <v/>
      </c>
      <c r="C8" s="24">
        <f>Rechner!$H$7*12*(1+Rechner!$C$28)^(A8-1)</f>
        <v/>
      </c>
      <c r="D8" s="24">
        <f>-C8*Rechner!$C$23</f>
        <v/>
      </c>
      <c r="E8" s="24">
        <f>(Rechner!$H$15+Rechner!$H$16)*12</f>
        <v/>
      </c>
      <c r="F8" s="24">
        <f>-B8*Rechner!$C$18</f>
        <v/>
      </c>
      <c r="G8" s="25">
        <f>-MIN(B8,Rechner!$H$10*(Rechner!$C$18+Rechner!$C$19)+F8)</f>
        <v/>
      </c>
      <c r="H8" s="25">
        <f>B8+G8</f>
        <v/>
      </c>
      <c r="I8" s="25">
        <f>C8+D8+E8+F8+G8</f>
        <v/>
      </c>
      <c r="J8" s="24">
        <f>-Rechner!$H$27</f>
        <v/>
      </c>
      <c r="K8" s="25">
        <f>-(C8+D8+E8+F8+J8)*Rechner!$C$26</f>
        <v/>
      </c>
      <c r="L8" s="26">
        <f>I8+K8</f>
        <v/>
      </c>
      <c r="M8" s="25">
        <f>M7+L8</f>
        <v/>
      </c>
      <c r="N8" s="24">
        <f>Rechner!$C$6*(1+Rechner!$C$29)^A8</f>
        <v/>
      </c>
      <c r="O8" s="26">
        <f>N8-H8</f>
        <v/>
      </c>
    </row>
    <row r="9">
      <c r="A9" s="5" t="n">
        <v>5</v>
      </c>
      <c r="B9" s="25">
        <f>H8</f>
        <v/>
      </c>
      <c r="C9" s="24">
        <f>Rechner!$H$7*12*(1+Rechner!$C$28)^(A9-1)</f>
        <v/>
      </c>
      <c r="D9" s="24">
        <f>-C9*Rechner!$C$23</f>
        <v/>
      </c>
      <c r="E9" s="24">
        <f>(Rechner!$H$15+Rechner!$H$16)*12</f>
        <v/>
      </c>
      <c r="F9" s="24">
        <f>-B9*Rechner!$C$18</f>
        <v/>
      </c>
      <c r="G9" s="25">
        <f>-MIN(B9,Rechner!$H$10*(Rechner!$C$18+Rechner!$C$19)+F9)</f>
        <v/>
      </c>
      <c r="H9" s="25">
        <f>B9+G9</f>
        <v/>
      </c>
      <c r="I9" s="25">
        <f>C9+D9+E9+F9+G9</f>
        <v/>
      </c>
      <c r="J9" s="24">
        <f>-Rechner!$H$27</f>
        <v/>
      </c>
      <c r="K9" s="25">
        <f>-(C9+D9+E9+F9+J9)*Rechner!$C$26</f>
        <v/>
      </c>
      <c r="L9" s="26">
        <f>I9+K9</f>
        <v/>
      </c>
      <c r="M9" s="25">
        <f>M8+L9</f>
        <v/>
      </c>
      <c r="N9" s="24">
        <f>Rechner!$C$6*(1+Rechner!$C$29)^A9</f>
        <v/>
      </c>
      <c r="O9" s="26">
        <f>N9-H9</f>
        <v/>
      </c>
    </row>
    <row r="10">
      <c r="A10" s="5" t="n">
        <v>6</v>
      </c>
      <c r="B10" s="25">
        <f>H9</f>
        <v/>
      </c>
      <c r="C10" s="24">
        <f>Rechner!$H$7*12*(1+Rechner!$C$28)^(A10-1)</f>
        <v/>
      </c>
      <c r="D10" s="24">
        <f>-C10*Rechner!$C$23</f>
        <v/>
      </c>
      <c r="E10" s="24">
        <f>(Rechner!$H$15+Rechner!$H$16)*12</f>
        <v/>
      </c>
      <c r="F10" s="24">
        <f>-B10*Rechner!$C$18</f>
        <v/>
      </c>
      <c r="G10" s="25">
        <f>-MIN(B10,Rechner!$H$10*(Rechner!$C$18+Rechner!$C$19)+F10)</f>
        <v/>
      </c>
      <c r="H10" s="25">
        <f>B10+G10</f>
        <v/>
      </c>
      <c r="I10" s="25">
        <f>C10+D10+E10+F10+G10</f>
        <v/>
      </c>
      <c r="J10" s="24">
        <f>-Rechner!$H$27</f>
        <v/>
      </c>
      <c r="K10" s="25">
        <f>-(C10+D10+E10+F10+J10)*Rechner!$C$26</f>
        <v/>
      </c>
      <c r="L10" s="26">
        <f>I10+K10</f>
        <v/>
      </c>
      <c r="M10" s="25">
        <f>M9+L10</f>
        <v/>
      </c>
      <c r="N10" s="24">
        <f>Rechner!$C$6*(1+Rechner!$C$29)^A10</f>
        <v/>
      </c>
      <c r="O10" s="26">
        <f>N10-H10</f>
        <v/>
      </c>
    </row>
    <row r="11">
      <c r="A11" s="5" t="n">
        <v>7</v>
      </c>
      <c r="B11" s="25">
        <f>H10</f>
        <v/>
      </c>
      <c r="C11" s="24">
        <f>Rechner!$H$7*12*(1+Rechner!$C$28)^(A11-1)</f>
        <v/>
      </c>
      <c r="D11" s="24">
        <f>-C11*Rechner!$C$23</f>
        <v/>
      </c>
      <c r="E11" s="24">
        <f>(Rechner!$H$15+Rechner!$H$16)*12</f>
        <v/>
      </c>
      <c r="F11" s="24">
        <f>-B11*Rechner!$C$18</f>
        <v/>
      </c>
      <c r="G11" s="25">
        <f>-MIN(B11,Rechner!$H$10*(Rechner!$C$18+Rechner!$C$19)+F11)</f>
        <v/>
      </c>
      <c r="H11" s="25">
        <f>B11+G11</f>
        <v/>
      </c>
      <c r="I11" s="25">
        <f>C11+D11+E11+F11+G11</f>
        <v/>
      </c>
      <c r="J11" s="24">
        <f>-Rechner!$H$27</f>
        <v/>
      </c>
      <c r="K11" s="25">
        <f>-(C11+D11+E11+F11+J11)*Rechner!$C$26</f>
        <v/>
      </c>
      <c r="L11" s="26">
        <f>I11+K11</f>
        <v/>
      </c>
      <c r="M11" s="25">
        <f>M10+L11</f>
        <v/>
      </c>
      <c r="N11" s="24">
        <f>Rechner!$C$6*(1+Rechner!$C$29)^A11</f>
        <v/>
      </c>
      <c r="O11" s="26">
        <f>N11-H11</f>
        <v/>
      </c>
    </row>
    <row r="12">
      <c r="A12" s="5" t="n">
        <v>8</v>
      </c>
      <c r="B12" s="25">
        <f>H11</f>
        <v/>
      </c>
      <c r="C12" s="24">
        <f>Rechner!$H$7*12*(1+Rechner!$C$28)^(A12-1)</f>
        <v/>
      </c>
      <c r="D12" s="24">
        <f>-C12*Rechner!$C$23</f>
        <v/>
      </c>
      <c r="E12" s="24">
        <f>(Rechner!$H$15+Rechner!$H$16)*12</f>
        <v/>
      </c>
      <c r="F12" s="24">
        <f>-B12*Rechner!$C$18</f>
        <v/>
      </c>
      <c r="G12" s="25">
        <f>-MIN(B12,Rechner!$H$10*(Rechner!$C$18+Rechner!$C$19)+F12)</f>
        <v/>
      </c>
      <c r="H12" s="25">
        <f>B12+G12</f>
        <v/>
      </c>
      <c r="I12" s="25">
        <f>C12+D12+E12+F12+G12</f>
        <v/>
      </c>
      <c r="J12" s="24">
        <f>-Rechner!$H$27</f>
        <v/>
      </c>
      <c r="K12" s="25">
        <f>-(C12+D12+E12+F12+J12)*Rechner!$C$26</f>
        <v/>
      </c>
      <c r="L12" s="26">
        <f>I12+K12</f>
        <v/>
      </c>
      <c r="M12" s="25">
        <f>M11+L12</f>
        <v/>
      </c>
      <c r="N12" s="24">
        <f>Rechner!$C$6*(1+Rechner!$C$29)^A12</f>
        <v/>
      </c>
      <c r="O12" s="26">
        <f>N12-H12</f>
        <v/>
      </c>
    </row>
    <row r="13">
      <c r="A13" s="5" t="n">
        <v>9</v>
      </c>
      <c r="B13" s="25">
        <f>H12</f>
        <v/>
      </c>
      <c r="C13" s="24">
        <f>Rechner!$H$7*12*(1+Rechner!$C$28)^(A13-1)</f>
        <v/>
      </c>
      <c r="D13" s="24">
        <f>-C13*Rechner!$C$23</f>
        <v/>
      </c>
      <c r="E13" s="24">
        <f>(Rechner!$H$15+Rechner!$H$16)*12</f>
        <v/>
      </c>
      <c r="F13" s="24">
        <f>-B13*Rechner!$C$18</f>
        <v/>
      </c>
      <c r="G13" s="25">
        <f>-MIN(B13,Rechner!$H$10*(Rechner!$C$18+Rechner!$C$19)+F13)</f>
        <v/>
      </c>
      <c r="H13" s="25">
        <f>B13+G13</f>
        <v/>
      </c>
      <c r="I13" s="25">
        <f>C13+D13+E13+F13+G13</f>
        <v/>
      </c>
      <c r="J13" s="24">
        <f>-Rechner!$H$27</f>
        <v/>
      </c>
      <c r="K13" s="25">
        <f>-(C13+D13+E13+F13+J13)*Rechner!$C$26</f>
        <v/>
      </c>
      <c r="L13" s="26">
        <f>I13+K13</f>
        <v/>
      </c>
      <c r="M13" s="25">
        <f>M12+L13</f>
        <v/>
      </c>
      <c r="N13" s="24">
        <f>Rechner!$C$6*(1+Rechner!$C$29)^A13</f>
        <v/>
      </c>
      <c r="O13" s="26">
        <f>N13-H13</f>
        <v/>
      </c>
    </row>
    <row r="14">
      <c r="A14" s="5" t="n">
        <v>10</v>
      </c>
      <c r="B14" s="25">
        <f>H13</f>
        <v/>
      </c>
      <c r="C14" s="24">
        <f>Rechner!$H$7*12*(1+Rechner!$C$28)^(A14-1)</f>
        <v/>
      </c>
      <c r="D14" s="24">
        <f>-C14*Rechner!$C$23</f>
        <v/>
      </c>
      <c r="E14" s="24">
        <f>(Rechner!$H$15+Rechner!$H$16)*12</f>
        <v/>
      </c>
      <c r="F14" s="24">
        <f>-B14*Rechner!$C$18</f>
        <v/>
      </c>
      <c r="G14" s="25">
        <f>-MIN(B14,Rechner!$H$10*(Rechner!$C$18+Rechner!$C$19)+F14)</f>
        <v/>
      </c>
      <c r="H14" s="25">
        <f>B14+G14</f>
        <v/>
      </c>
      <c r="I14" s="25">
        <f>C14+D14+E14+F14+G14</f>
        <v/>
      </c>
      <c r="J14" s="24">
        <f>-Rechner!$H$27</f>
        <v/>
      </c>
      <c r="K14" s="25">
        <f>-(C14+D14+E14+F14+J14)*Rechner!$C$26</f>
        <v/>
      </c>
      <c r="L14" s="26">
        <f>I14+K14</f>
        <v/>
      </c>
      <c r="M14" s="25">
        <f>M13+L14</f>
        <v/>
      </c>
      <c r="N14" s="24">
        <f>Rechner!$C$6*(1+Rechner!$C$29)^A14</f>
        <v/>
      </c>
      <c r="O14" s="26">
        <f>N14-H14</f>
        <v/>
      </c>
    </row>
    <row r="15">
      <c r="A15" s="5" t="n">
        <v>11</v>
      </c>
      <c r="B15" s="25">
        <f>H14</f>
        <v/>
      </c>
      <c r="C15" s="24">
        <f>Rechner!$H$7*12*(1+Rechner!$C$28)^(A15-1)</f>
        <v/>
      </c>
      <c r="D15" s="24">
        <f>-C15*Rechner!$C$23</f>
        <v/>
      </c>
      <c r="E15" s="24">
        <f>(Rechner!$H$15+Rechner!$H$16)*12</f>
        <v/>
      </c>
      <c r="F15" s="24">
        <f>-B15*Rechner!$C$18</f>
        <v/>
      </c>
      <c r="G15" s="25">
        <f>-MIN(B15,Rechner!$H$10*(Rechner!$C$18+Rechner!$C$19)+F15)</f>
        <v/>
      </c>
      <c r="H15" s="25">
        <f>B15+G15</f>
        <v/>
      </c>
      <c r="I15" s="25">
        <f>C15+D15+E15+F15+G15</f>
        <v/>
      </c>
      <c r="J15" s="24">
        <f>-Rechner!$H$27</f>
        <v/>
      </c>
      <c r="K15" s="25">
        <f>-(C15+D15+E15+F15+J15)*Rechner!$C$26</f>
        <v/>
      </c>
      <c r="L15" s="26">
        <f>I15+K15</f>
        <v/>
      </c>
      <c r="M15" s="25">
        <f>M14+L15</f>
        <v/>
      </c>
      <c r="N15" s="24">
        <f>Rechner!$C$6*(1+Rechner!$C$29)^A15</f>
        <v/>
      </c>
      <c r="O15" s="26">
        <f>N15-H15</f>
        <v/>
      </c>
    </row>
    <row r="16">
      <c r="A16" s="5" t="n">
        <v>12</v>
      </c>
      <c r="B16" s="25">
        <f>H15</f>
        <v/>
      </c>
      <c r="C16" s="24">
        <f>Rechner!$H$7*12*(1+Rechner!$C$28)^(A16-1)</f>
        <v/>
      </c>
      <c r="D16" s="24">
        <f>-C16*Rechner!$C$23</f>
        <v/>
      </c>
      <c r="E16" s="24">
        <f>(Rechner!$H$15+Rechner!$H$16)*12</f>
        <v/>
      </c>
      <c r="F16" s="24">
        <f>-B16*Rechner!$C$18</f>
        <v/>
      </c>
      <c r="G16" s="25">
        <f>-MIN(B16,Rechner!$H$10*(Rechner!$C$18+Rechner!$C$19)+F16)</f>
        <v/>
      </c>
      <c r="H16" s="25">
        <f>B16+G16</f>
        <v/>
      </c>
      <c r="I16" s="25">
        <f>C16+D16+E16+F16+G16</f>
        <v/>
      </c>
      <c r="J16" s="24">
        <f>-Rechner!$H$27</f>
        <v/>
      </c>
      <c r="K16" s="25">
        <f>-(C16+D16+E16+F16+J16)*Rechner!$C$26</f>
        <v/>
      </c>
      <c r="L16" s="26">
        <f>I16+K16</f>
        <v/>
      </c>
      <c r="M16" s="25">
        <f>M15+L16</f>
        <v/>
      </c>
      <c r="N16" s="24">
        <f>Rechner!$C$6*(1+Rechner!$C$29)^A16</f>
        <v/>
      </c>
      <c r="O16" s="26">
        <f>N16-H16</f>
        <v/>
      </c>
    </row>
    <row r="17">
      <c r="A17" s="5" t="n">
        <v>13</v>
      </c>
      <c r="B17" s="25">
        <f>H16</f>
        <v/>
      </c>
      <c r="C17" s="24">
        <f>Rechner!$H$7*12*(1+Rechner!$C$28)^(A17-1)</f>
        <v/>
      </c>
      <c r="D17" s="24">
        <f>-C17*Rechner!$C$23</f>
        <v/>
      </c>
      <c r="E17" s="24">
        <f>(Rechner!$H$15+Rechner!$H$16)*12</f>
        <v/>
      </c>
      <c r="F17" s="24">
        <f>-B17*Rechner!$C$18</f>
        <v/>
      </c>
      <c r="G17" s="25">
        <f>-MIN(B17,Rechner!$H$10*(Rechner!$C$18+Rechner!$C$19)+F17)</f>
        <v/>
      </c>
      <c r="H17" s="25">
        <f>B17+G17</f>
        <v/>
      </c>
      <c r="I17" s="25">
        <f>C17+D17+E17+F17+G17</f>
        <v/>
      </c>
      <c r="J17" s="24">
        <f>-Rechner!$H$27</f>
        <v/>
      </c>
      <c r="K17" s="25">
        <f>-(C17+D17+E17+F17+J17)*Rechner!$C$26</f>
        <v/>
      </c>
      <c r="L17" s="26">
        <f>I17+K17</f>
        <v/>
      </c>
      <c r="M17" s="25">
        <f>M16+L17</f>
        <v/>
      </c>
      <c r="N17" s="24">
        <f>Rechner!$C$6*(1+Rechner!$C$29)^A17</f>
        <v/>
      </c>
      <c r="O17" s="26">
        <f>N17-H17</f>
        <v/>
      </c>
    </row>
    <row r="18">
      <c r="A18" s="5" t="n">
        <v>14</v>
      </c>
      <c r="B18" s="25">
        <f>H17</f>
        <v/>
      </c>
      <c r="C18" s="24">
        <f>Rechner!$H$7*12*(1+Rechner!$C$28)^(A18-1)</f>
        <v/>
      </c>
      <c r="D18" s="24">
        <f>-C18*Rechner!$C$23</f>
        <v/>
      </c>
      <c r="E18" s="24">
        <f>(Rechner!$H$15+Rechner!$H$16)*12</f>
        <v/>
      </c>
      <c r="F18" s="24">
        <f>-B18*Rechner!$C$18</f>
        <v/>
      </c>
      <c r="G18" s="25">
        <f>-MIN(B18,Rechner!$H$10*(Rechner!$C$18+Rechner!$C$19)+F18)</f>
        <v/>
      </c>
      <c r="H18" s="25">
        <f>B18+G18</f>
        <v/>
      </c>
      <c r="I18" s="25">
        <f>C18+D18+E18+F18+G18</f>
        <v/>
      </c>
      <c r="J18" s="24">
        <f>-Rechner!$H$27</f>
        <v/>
      </c>
      <c r="K18" s="25">
        <f>-(C18+D18+E18+F18+J18)*Rechner!$C$26</f>
        <v/>
      </c>
      <c r="L18" s="26">
        <f>I18+K18</f>
        <v/>
      </c>
      <c r="M18" s="25">
        <f>M17+L18</f>
        <v/>
      </c>
      <c r="N18" s="24">
        <f>Rechner!$C$6*(1+Rechner!$C$29)^A18</f>
        <v/>
      </c>
      <c r="O18" s="26">
        <f>N18-H18</f>
        <v/>
      </c>
    </row>
    <row r="19">
      <c r="A19" s="5" t="n">
        <v>15</v>
      </c>
      <c r="B19" s="25">
        <f>H18</f>
        <v/>
      </c>
      <c r="C19" s="24">
        <f>Rechner!$H$7*12*(1+Rechner!$C$28)^(A19-1)</f>
        <v/>
      </c>
      <c r="D19" s="24">
        <f>-C19*Rechner!$C$23</f>
        <v/>
      </c>
      <c r="E19" s="24">
        <f>(Rechner!$H$15+Rechner!$H$16)*12</f>
        <v/>
      </c>
      <c r="F19" s="24">
        <f>-B19*Rechner!$C$18</f>
        <v/>
      </c>
      <c r="G19" s="25">
        <f>-MIN(B19,Rechner!$H$10*(Rechner!$C$18+Rechner!$C$19)+F19)</f>
        <v/>
      </c>
      <c r="H19" s="25">
        <f>B19+G19</f>
        <v/>
      </c>
      <c r="I19" s="25">
        <f>C19+D19+E19+F19+G19</f>
        <v/>
      </c>
      <c r="J19" s="24">
        <f>-Rechner!$H$27</f>
        <v/>
      </c>
      <c r="K19" s="25">
        <f>-(C19+D19+E19+F19+J19)*Rechner!$C$26</f>
        <v/>
      </c>
      <c r="L19" s="26">
        <f>I19+K19</f>
        <v/>
      </c>
      <c r="M19" s="25">
        <f>M18+L19</f>
        <v/>
      </c>
      <c r="N19" s="24">
        <f>Rechner!$C$6*(1+Rechner!$C$29)^A19</f>
        <v/>
      </c>
      <c r="O19" s="26">
        <f>N19-H19</f>
        <v/>
      </c>
    </row>
    <row r="20">
      <c r="A20" s="5" t="n">
        <v>16</v>
      </c>
      <c r="B20" s="25">
        <f>H19</f>
        <v/>
      </c>
      <c r="C20" s="24">
        <f>Rechner!$H$7*12*(1+Rechner!$C$28)^(A20-1)</f>
        <v/>
      </c>
      <c r="D20" s="24">
        <f>-C20*Rechner!$C$23</f>
        <v/>
      </c>
      <c r="E20" s="24">
        <f>(Rechner!$H$15+Rechner!$H$16)*12</f>
        <v/>
      </c>
      <c r="F20" s="24">
        <f>-B20*Rechner!$C$18</f>
        <v/>
      </c>
      <c r="G20" s="25">
        <f>-MIN(B20,Rechner!$H$10*(Rechner!$C$18+Rechner!$C$19)+F20)</f>
        <v/>
      </c>
      <c r="H20" s="25">
        <f>B20+G20</f>
        <v/>
      </c>
      <c r="I20" s="25">
        <f>C20+D20+E20+F20+G20</f>
        <v/>
      </c>
      <c r="J20" s="24">
        <f>-Rechner!$H$27</f>
        <v/>
      </c>
      <c r="K20" s="25">
        <f>-(C20+D20+E20+F20+J20)*Rechner!$C$26</f>
        <v/>
      </c>
      <c r="L20" s="26">
        <f>I20+K20</f>
        <v/>
      </c>
      <c r="M20" s="25">
        <f>M19+L20</f>
        <v/>
      </c>
      <c r="N20" s="24">
        <f>Rechner!$C$6*(1+Rechner!$C$29)^A20</f>
        <v/>
      </c>
      <c r="O20" s="26">
        <f>N20-H20</f>
        <v/>
      </c>
    </row>
    <row r="21">
      <c r="A21" s="5" t="n">
        <v>17</v>
      </c>
      <c r="B21" s="25">
        <f>H20</f>
        <v/>
      </c>
      <c r="C21" s="24">
        <f>Rechner!$H$7*12*(1+Rechner!$C$28)^(A21-1)</f>
        <v/>
      </c>
      <c r="D21" s="24">
        <f>-C21*Rechner!$C$23</f>
        <v/>
      </c>
      <c r="E21" s="24">
        <f>(Rechner!$H$15+Rechner!$H$16)*12</f>
        <v/>
      </c>
      <c r="F21" s="24">
        <f>-B21*Rechner!$C$18</f>
        <v/>
      </c>
      <c r="G21" s="25">
        <f>-MIN(B21,Rechner!$H$10*(Rechner!$C$18+Rechner!$C$19)+F21)</f>
        <v/>
      </c>
      <c r="H21" s="25">
        <f>B21+G21</f>
        <v/>
      </c>
      <c r="I21" s="25">
        <f>C21+D21+E21+F21+G21</f>
        <v/>
      </c>
      <c r="J21" s="24">
        <f>-Rechner!$H$27</f>
        <v/>
      </c>
      <c r="K21" s="25">
        <f>-(C21+D21+E21+F21+J21)*Rechner!$C$26</f>
        <v/>
      </c>
      <c r="L21" s="26">
        <f>I21+K21</f>
        <v/>
      </c>
      <c r="M21" s="25">
        <f>M20+L21</f>
        <v/>
      </c>
      <c r="N21" s="24">
        <f>Rechner!$C$6*(1+Rechner!$C$29)^A21</f>
        <v/>
      </c>
      <c r="O21" s="26">
        <f>N21-H21</f>
        <v/>
      </c>
    </row>
    <row r="22">
      <c r="A22" s="5" t="n">
        <v>18</v>
      </c>
      <c r="B22" s="25">
        <f>H21</f>
        <v/>
      </c>
      <c r="C22" s="24">
        <f>Rechner!$H$7*12*(1+Rechner!$C$28)^(A22-1)</f>
        <v/>
      </c>
      <c r="D22" s="24">
        <f>-C22*Rechner!$C$23</f>
        <v/>
      </c>
      <c r="E22" s="24">
        <f>(Rechner!$H$15+Rechner!$H$16)*12</f>
        <v/>
      </c>
      <c r="F22" s="24">
        <f>-B22*Rechner!$C$18</f>
        <v/>
      </c>
      <c r="G22" s="25">
        <f>-MIN(B22,Rechner!$H$10*(Rechner!$C$18+Rechner!$C$19)+F22)</f>
        <v/>
      </c>
      <c r="H22" s="25">
        <f>B22+G22</f>
        <v/>
      </c>
      <c r="I22" s="25">
        <f>C22+D22+E22+F22+G22</f>
        <v/>
      </c>
      <c r="J22" s="24">
        <f>-Rechner!$H$27</f>
        <v/>
      </c>
      <c r="K22" s="25">
        <f>-(C22+D22+E22+F22+J22)*Rechner!$C$26</f>
        <v/>
      </c>
      <c r="L22" s="26">
        <f>I22+K22</f>
        <v/>
      </c>
      <c r="M22" s="25">
        <f>M21+L22</f>
        <v/>
      </c>
      <c r="N22" s="24">
        <f>Rechner!$C$6*(1+Rechner!$C$29)^A22</f>
        <v/>
      </c>
      <c r="O22" s="26">
        <f>N22-H22</f>
        <v/>
      </c>
    </row>
    <row r="23">
      <c r="A23" s="5" t="n">
        <v>19</v>
      </c>
      <c r="B23" s="25">
        <f>H22</f>
        <v/>
      </c>
      <c r="C23" s="24">
        <f>Rechner!$H$7*12*(1+Rechner!$C$28)^(A23-1)</f>
        <v/>
      </c>
      <c r="D23" s="24">
        <f>-C23*Rechner!$C$23</f>
        <v/>
      </c>
      <c r="E23" s="24">
        <f>(Rechner!$H$15+Rechner!$H$16)*12</f>
        <v/>
      </c>
      <c r="F23" s="24">
        <f>-B23*Rechner!$C$18</f>
        <v/>
      </c>
      <c r="G23" s="25">
        <f>-MIN(B23,Rechner!$H$10*(Rechner!$C$18+Rechner!$C$19)+F23)</f>
        <v/>
      </c>
      <c r="H23" s="25">
        <f>B23+G23</f>
        <v/>
      </c>
      <c r="I23" s="25">
        <f>C23+D23+E23+F23+G23</f>
        <v/>
      </c>
      <c r="J23" s="24">
        <f>-Rechner!$H$27</f>
        <v/>
      </c>
      <c r="K23" s="25">
        <f>-(C23+D23+E23+F23+J23)*Rechner!$C$26</f>
        <v/>
      </c>
      <c r="L23" s="26">
        <f>I23+K23</f>
        <v/>
      </c>
      <c r="M23" s="25">
        <f>M22+L23</f>
        <v/>
      </c>
      <c r="N23" s="24">
        <f>Rechner!$C$6*(1+Rechner!$C$29)^A23</f>
        <v/>
      </c>
      <c r="O23" s="26">
        <f>N23-H23</f>
        <v/>
      </c>
    </row>
    <row r="24">
      <c r="A24" s="5" t="n">
        <v>20</v>
      </c>
      <c r="B24" s="25">
        <f>H23</f>
        <v/>
      </c>
      <c r="C24" s="24">
        <f>Rechner!$H$7*12*(1+Rechner!$C$28)^(A24-1)</f>
        <v/>
      </c>
      <c r="D24" s="24">
        <f>-C24*Rechner!$C$23</f>
        <v/>
      </c>
      <c r="E24" s="24">
        <f>(Rechner!$H$15+Rechner!$H$16)*12</f>
        <v/>
      </c>
      <c r="F24" s="24">
        <f>-B24*Rechner!$C$18</f>
        <v/>
      </c>
      <c r="G24" s="25">
        <f>-MIN(B24,Rechner!$H$10*(Rechner!$C$18+Rechner!$C$19)+F24)</f>
        <v/>
      </c>
      <c r="H24" s="25">
        <f>B24+G24</f>
        <v/>
      </c>
      <c r="I24" s="25">
        <f>C24+D24+E24+F24+G24</f>
        <v/>
      </c>
      <c r="J24" s="24">
        <f>-Rechner!$H$27</f>
        <v/>
      </c>
      <c r="K24" s="25">
        <f>-(C24+D24+E24+F24+J24)*Rechner!$C$26</f>
        <v/>
      </c>
      <c r="L24" s="26">
        <f>I24+K24</f>
        <v/>
      </c>
      <c r="M24" s="25">
        <f>M23+L24</f>
        <v/>
      </c>
      <c r="N24" s="24">
        <f>Rechner!$C$6*(1+Rechner!$C$29)^A24</f>
        <v/>
      </c>
      <c r="O24" s="26">
        <f>N24-H24</f>
        <v/>
      </c>
    </row>
    <row r="26">
      <c r="A26" s="2" t="inlineStr">
        <is>
          <t>Grüne Schrift = Bezug auf das Blatt Rechner. Jahr 1 entspricht dem Monatswert im Rechner × 12.</t>
        </is>
      </c>
    </row>
  </sheetData>
  <conditionalFormatting sqref="L5:M24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</cols>
  <sheetData>
    <row r="1">
      <c r="A1" s="22" t="inlineStr">
        <is>
          <t>Fernere Lebenserwartung (Frauen, gerundet)</t>
        </is>
      </c>
    </row>
    <row r="2">
      <c r="A2" s="2" t="inlineStr">
        <is>
          <t>Quelle: Statistisches Bundesamt (Destatis), Sterbetafel 2021/23, gerundete Näherungswerte. Frauenwert = vorsichtige (längere) Annahme.</t>
        </is>
      </c>
    </row>
    <row r="3">
      <c r="A3" s="3" t="inlineStr">
        <is>
          <t>Alter</t>
        </is>
      </c>
      <c r="B3" s="3" t="inlineStr">
        <is>
          <t>Weitere Lebensjahre</t>
        </is>
      </c>
    </row>
    <row r="4">
      <c r="A4" s="27" t="n">
        <v>60</v>
      </c>
      <c r="B4" s="28" t="n">
        <v>25</v>
      </c>
    </row>
    <row r="5">
      <c r="A5" s="27" t="n">
        <v>65</v>
      </c>
      <c r="B5" s="28" t="n">
        <v>20.9</v>
      </c>
    </row>
    <row r="6">
      <c r="A6" s="27" t="n">
        <v>70</v>
      </c>
      <c r="B6" s="28" t="n">
        <v>16.9</v>
      </c>
    </row>
    <row r="7">
      <c r="A7" s="27" t="n">
        <v>75</v>
      </c>
      <c r="B7" s="28" t="n">
        <v>13.2</v>
      </c>
    </row>
    <row r="8">
      <c r="A8" s="27" t="n">
        <v>80</v>
      </c>
      <c r="B8" s="28" t="n">
        <v>9.800000000000001</v>
      </c>
    </row>
    <row r="9">
      <c r="A9" s="27" t="n">
        <v>85</v>
      </c>
      <c r="B9" s="28" t="n">
        <v>6.9</v>
      </c>
    </row>
    <row r="10">
      <c r="A10" s="27" t="n">
        <v>90</v>
      </c>
      <c r="B10" s="28" t="n">
        <v>4.6</v>
      </c>
    </row>
    <row r="11">
      <c r="A11" s="27" t="n">
        <v>95</v>
      </c>
      <c r="B11" s="28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2026-09-27T19:48:16Z</dcterms:created>
  <dcterms:modified xmlns:dcterms="http://purl.org/dc/terms/" xmlns:xsi="http://www.w3.org/2001/XMLSchema-instance" xsi:type="dcterms:W3CDTF">2026-09-27T19:48:16Z</dcterms:modified>
</cp:coreProperties>
</file>