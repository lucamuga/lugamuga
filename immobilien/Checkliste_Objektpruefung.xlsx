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e" sheetId="1" state="visible" r:id="rId1"/>
  </sheets>
  <definedNames>
    <definedName name="_xlnm.Print_Titles" localSheetId="0">'Checkliste'!$13:$13</definedName>
    <definedName name="_xlnm.Print_Area" localSheetId="0">'Checkliste'!$A$1:$J$77</definedName>
  </definedNames>
  <calcPr calcId="124519" fullCalcOnLoad="1"/>
</workbook>
</file>

<file path=xl/styles.xml><?xml version="1.0" encoding="utf-8"?>
<styleSheet xmlns="http://schemas.openxmlformats.org/spreadsheetml/2006/main">
  <numFmts count="2">
    <numFmt numFmtId="164" formatCode="#,##0 €;-#,##0 €;&quot;-&quot;"/>
    <numFmt numFmtId="165" formatCode="0.0%"/>
  </numFmts>
  <fonts count="10">
    <font>
      <name val="Calibri"/>
      <family val="2"/>
      <color theme="1"/>
      <sz val="11"/>
      <scheme val="minor"/>
    </font>
    <font>
      <name val="Arial"/>
      <b val="1"/>
      <color rgb="001C2430"/>
      <sz val="15"/>
    </font>
    <font>
      <name val="Arial"/>
      <color rgb="00555555"/>
      <sz val="9"/>
    </font>
    <font>
      <name val="Arial"/>
      <b val="1"/>
      <sz val="10"/>
    </font>
    <font>
      <name val="Arial"/>
      <color rgb="000000FF"/>
      <sz val="10"/>
    </font>
    <font>
      <name val="Arial"/>
      <b val="1"/>
      <color rgb="00FFFFFF"/>
      <sz val="10"/>
    </font>
    <font>
      <name val="Arial"/>
      <sz val="10"/>
    </font>
    <font>
      <name val="Arial"/>
      <b val="1"/>
      <sz val="11"/>
    </font>
    <font>
      <name val="Arial"/>
      <b val="1"/>
      <color rgb="001C2430"/>
      <sz val="10"/>
    </font>
    <font>
      <name val="Arial"/>
      <b val="1"/>
      <color rgb="00B3362F"/>
      <sz val="9"/>
    </font>
  </fonts>
  <fills count="5">
    <fill>
      <patternFill/>
    </fill>
    <fill>
      <patternFill patternType="gray125"/>
    </fill>
    <fill>
      <patternFill patternType="solid">
        <fgColor rgb="00FFFF00"/>
      </patternFill>
    </fill>
    <fill>
      <patternFill patternType="solid">
        <fgColor rgb="009E3B24"/>
      </patternFill>
    </fill>
    <fill>
      <patternFill patternType="solid">
        <fgColor rgb="00EDE7E3"/>
      </patternFill>
    </fill>
  </fills>
  <borders count="2">
    <border>
      <left/>
      <right/>
      <top/>
      <bottom/>
      <diagonal/>
    </border>
    <border>
      <bottom style="thin">
        <color rgb="00D5D2CC"/>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xf>
    <xf numFmtId="0" fontId="0" fillId="2" borderId="0" pivotButton="0" quotePrefix="0" xfId="0"/>
    <xf numFmtId="0" fontId="5" fillId="3" borderId="0" pivotButton="0" quotePrefix="0" xfId="0"/>
    <xf numFmtId="0" fontId="0" fillId="3" borderId="0" pivotButton="0" quotePrefix="0" xfId="0"/>
    <xf numFmtId="0" fontId="6" fillId="0" borderId="0" pivotButton="0" quotePrefix="0" xfId="0"/>
    <xf numFmtId="1" fontId="3" fillId="0" borderId="0" pivotButton="0" quotePrefix="0" xfId="0"/>
    <xf numFmtId="164" fontId="4" fillId="2" borderId="0" applyAlignment="1" pivotButton="0" quotePrefix="0" xfId="0">
      <alignment horizontal="left"/>
    </xf>
    <xf numFmtId="165" fontId="3" fillId="0" borderId="0" applyAlignment="1" pivotButton="0" quotePrefix="0" xfId="0">
      <alignment horizontal="left"/>
    </xf>
    <xf numFmtId="9" fontId="3" fillId="0" borderId="0" pivotButton="0" quotePrefix="0" xfId="0"/>
    <xf numFmtId="0" fontId="7" fillId="0" borderId="0" applyAlignment="1" pivotButton="0" quotePrefix="0" xfId="0">
      <alignment horizontal="center"/>
    </xf>
    <xf numFmtId="0" fontId="5" fillId="3" borderId="0" applyAlignment="1" pivotButton="0" quotePrefix="0" xfId="0">
      <alignment horizontal="center" vertical="center"/>
    </xf>
    <xf numFmtId="0" fontId="5" fillId="3" borderId="0" applyAlignment="1" pivotButton="0" quotePrefix="0" xfId="0">
      <alignment horizontal="left" vertical="center"/>
    </xf>
    <xf numFmtId="0" fontId="8" fillId="4" borderId="0" pivotButton="0" quotePrefix="0" xfId="0"/>
    <xf numFmtId="0" fontId="2" fillId="0" borderId="1" applyAlignment="1" pivotButton="0" quotePrefix="0" xfId="0">
      <alignment horizontal="center" vertical="top"/>
    </xf>
    <xf numFmtId="0" fontId="3" fillId="0" borderId="1" applyAlignment="1" pivotButton="0" quotePrefix="0" xfId="0">
      <alignment vertical="top" wrapText="1"/>
    </xf>
    <xf numFmtId="0" fontId="6" fillId="0" borderId="1" applyAlignment="1" pivotButton="0" quotePrefix="0" xfId="0">
      <alignment vertical="top" wrapText="1"/>
    </xf>
    <xf numFmtId="0" fontId="0" fillId="0" borderId="1" pivotButton="0" quotePrefix="0" xfId="0"/>
    <xf numFmtId="0" fontId="9" fillId="0" borderId="1" applyAlignment="1" pivotButton="0" quotePrefix="0" xfId="0">
      <alignment horizontal="center" vertical="top"/>
    </xf>
    <xf numFmtId="0" fontId="2" fillId="0" borderId="1" applyAlignment="1" pivotButton="0" quotePrefix="0" xfId="0">
      <alignment vertical="top" wrapText="1"/>
    </xf>
    <xf numFmtId="0" fontId="4" fillId="2" borderId="1" applyAlignment="1" pivotButton="0" quotePrefix="0" xfId="0">
      <alignment horizontal="center" vertical="top"/>
    </xf>
    <xf numFmtId="0" fontId="4" fillId="2" borderId="1" applyAlignment="1" pivotButton="0" quotePrefix="0" xfId="0">
      <alignment vertical="top" wrapText="1"/>
    </xf>
    <xf numFmtId="0" fontId="2" fillId="0" borderId="0" applyAlignment="1" pivotButton="0" quotePrefix="0" xfId="0">
      <alignment wrapText="1"/>
    </xf>
  </cellXfs>
  <cellStyles count="1">
    <cellStyle name="Normal" xfId="0" builtinId="0" hidden="0"/>
  </cellStyles>
  <dxfs count="9">
    <dxf>
      <font>
        <name val="Arial"/>
        <b val="1"/>
        <color rgb="002E7A4B"/>
      </font>
      <fill>
        <patternFill patternType="solid">
          <fgColor rgb="00DCEFE4"/>
        </patternFill>
      </fill>
    </dxf>
    <dxf>
      <font>
        <name val="Arial"/>
        <b val="1"/>
        <color rgb="00B3362F"/>
      </font>
      <fill>
        <patternFill patternType="solid">
          <fgColor rgb="00F6DCD9"/>
        </patternFill>
      </fill>
    </dxf>
    <dxf>
      <font>
        <name val="Arial"/>
        <color rgb="00777777"/>
      </font>
      <fill>
        <patternFill patternType="solid">
          <fgColor rgb="00EEEEEE"/>
        </patternFill>
      </fill>
    </dxf>
    <dxf>
      <font>
        <name val="Arial"/>
        <b val="1"/>
        <color rgb="00B3362F"/>
        <sz val="11"/>
      </font>
      <fill>
        <patternFill patternType="solid">
          <fgColor rgb="00F6DCD9"/>
        </patternFill>
      </fill>
    </dxf>
    <dxf>
      <font>
        <name val="Arial"/>
        <b val="1"/>
        <color rgb="002E7A4B"/>
        <sz val="11"/>
      </font>
      <fill>
        <patternFill patternType="solid">
          <fgColor rgb="00DCEFE4"/>
        </patternFill>
      </fill>
    </dxf>
    <dxf>
      <font>
        <name val="Arial"/>
        <b val="1"/>
        <color rgb="009A620F"/>
        <sz val="11"/>
      </font>
      <fill>
        <patternFill patternType="solid">
          <fgColor rgb="00F8EDD8"/>
        </patternFill>
      </fill>
    </dxf>
    <dxf>
      <font>
        <name val="Arial"/>
        <b val="1"/>
        <color rgb="00B3362F"/>
      </font>
    </dxf>
    <dxf>
      <font>
        <name val="Arial"/>
        <b val="1"/>
        <color rgb="002E7A4B"/>
      </font>
    </dxf>
    <dxf>
      <font>
        <name val="Arial"/>
        <b val="1"/>
        <color rgb="009A620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77"/>
  <sheetViews>
    <sheetView showGridLines="0" workbookViewId="0">
      <pane ySplit="13" topLeftCell="A14" activePane="bottomLeft" state="frozen"/>
      <selection pane="bottomLeft" activeCell="A1" sqref="A1"/>
    </sheetView>
  </sheetViews>
  <sheetFormatPr baseColWidth="8" defaultRowHeight="15"/>
  <cols>
    <col width="5" customWidth="1" min="1" max="1"/>
    <col width="30" customWidth="1" min="2" max="2"/>
    <col width="34" customWidth="1" min="3" max="3"/>
    <col width="20" customWidth="1" min="4" max="4"/>
    <col width="7" customWidth="1" min="5" max="5"/>
    <col width="18" customWidth="1" min="6" max="6"/>
    <col width="11" customWidth="1" min="7" max="7"/>
    <col width="30" customWidth="1" min="8" max="8"/>
    <col width="26" customWidth="1" min="9" max="9"/>
    <col width="12" customWidth="1" min="10" max="10"/>
  </cols>
  <sheetData>
    <row r="1">
      <c r="B1" s="1" t="inlineStr">
        <is>
          <t>Checkliste Objektprüfung – Hauskauf mit Rückmietung</t>
        </is>
      </c>
    </row>
    <row r="2">
      <c r="B2" s="2" t="inlineStr">
        <is>
          <t>Für jedes Haus eine Kopie dieses Blatts anlegen (Rechtsklick auf den Blattnamen → Verschieben/Kopieren → Kopie erstellen). Gelbe Felder ausfüllen, Status per Auswahlliste setzen.</t>
        </is>
      </c>
    </row>
    <row r="4">
      <c r="B4" s="3" t="inlineStr">
        <is>
          <t>Objekt / Adresse</t>
        </is>
      </c>
      <c r="C4" s="4" t="inlineStr">
        <is>
          <t>Beispielstraße 1, 49401 Damme</t>
        </is>
      </c>
      <c r="D4" s="5" t="n"/>
      <c r="I4" s="6" t="inlineStr">
        <is>
          <t>Auswertung</t>
        </is>
      </c>
      <c r="J4" s="7" t="n"/>
    </row>
    <row r="5">
      <c r="B5" s="3" t="inlineStr">
        <is>
          <t>Verkäufer</t>
        </is>
      </c>
      <c r="C5" s="4" t="inlineStr">
        <is>
          <t>Frau und Herr Muster (Beispiel)</t>
        </is>
      </c>
      <c r="D5" s="5" t="n"/>
      <c r="I5" s="8" t="inlineStr">
        <is>
          <t>Prüfpunkte gesamt</t>
        </is>
      </c>
      <c r="J5" s="9">
        <f>COUNTA($G$14:$G$75)</f>
        <v>53</v>
      </c>
    </row>
    <row r="6">
      <c r="B6" s="3" t="inlineStr">
        <is>
          <t>Datum Erstkontakt</t>
        </is>
      </c>
      <c r="C6" s="4" t="inlineStr">
        <is>
          <t>01.10.2026</t>
        </is>
      </c>
      <c r="D6" s="5" t="n"/>
      <c r="I6" s="8" t="inlineStr">
        <is>
          <t>Erledigt</t>
        </is>
      </c>
      <c r="J6" s="9">
        <f>COUNTIF($G$14:$G$75,"Erledigt")</f>
        <v>0</v>
      </c>
    </row>
    <row r="7">
      <c r="B7" s="3" t="inlineStr">
        <is>
          <t>Kaufpreis (verhandelt)</t>
        </is>
      </c>
      <c r="C7" s="10" t="n">
        <v>260000</v>
      </c>
      <c r="D7" s="5" t="n"/>
      <c r="I7" s="8" t="inlineStr">
        <is>
          <t>Problem</t>
        </is>
      </c>
      <c r="J7" s="9">
        <f>COUNTIF($G$14:$G$75,"Problem")</f>
        <v>0</v>
      </c>
    </row>
    <row r="8">
      <c r="B8" s="3" t="inlineStr">
        <is>
          <t>Verkehrswert laut Gutachten</t>
        </is>
      </c>
      <c r="C8" s="10" t="n">
        <v>275000</v>
      </c>
      <c r="D8" s="5" t="n"/>
      <c r="I8" s="8" t="inlineStr">
        <is>
          <t>Offen</t>
        </is>
      </c>
      <c r="J8" s="9">
        <f>COUNTIF($G$14:$G$75,"Offen")</f>
        <v>53</v>
      </c>
    </row>
    <row r="9">
      <c r="B9" s="3" t="inlineStr">
        <is>
          <t>Kaufpreis in % vom Verkehrswert</t>
        </is>
      </c>
      <c r="C9" s="11">
        <f>IF(OR(C8="",C8=0),"Gutachten fehlt",C7/C8)</f>
        <v>0.945454545454545</v>
      </c>
      <c r="E9" s="3" t="str">
        <f>IF(NOT(ISNUMBER(C9)),"Ohne Gutachten kein Kauf",IF(C9&lt;0.6,"Gefahr: Sittenwidrigkeit / Schenkung – so nicht kaufen",IF(C9&lt;0.8,"Deutlicher Abschlag – Begründung schriftlich festhalten","Preis im fairen Bereich")))</f>
        <v>Preis im fairen Bereich</v>
      </c>
      <c r="I9" s="8" t="inlineStr">
        <is>
          <t>Fortschritt</t>
        </is>
      </c>
      <c r="J9" s="12">
        <f>IFERROR((J6+COUNTIF($G$14:$G$75,"Entfällt"))/J5,0)</f>
        <v>0</v>
      </c>
    </row>
    <row r="10">
      <c r="I10" s="8" t="inlineStr">
        <is>
          <t>K.O.-Punkte mit Problem</t>
        </is>
      </c>
      <c r="J10" s="3">
        <f>COUNTIFS($E$14:$E$75,"K.O.",$G$14:$G$75,"Problem")</f>
        <v>0</v>
      </c>
    </row>
    <row r="11">
      <c r="I11" s="8" t="inlineStr">
        <is>
          <t>K.O.-Punkte offen</t>
        </is>
      </c>
      <c r="J11" s="3">
        <f>COUNTIFS($E$14:$E$75,"K.O.",$G$14:$G$75,"Offen")</f>
        <v>14</v>
      </c>
    </row>
    <row r="12">
      <c r="I12" s="13" t="str">
        <f>IF(J10&gt;0,"STOPP: K.O.-Punkt mit Problem",IF(OR(J11&gt;0,NOT(ISNUMBER(C9)),IF(ISNUMBER(C9),C9&lt;0.6,FALSE)),"Noch nicht bereit für den Notar","Bereit für den Notartermin"))</f>
        <v>Noch nicht bereit für den Notar</v>
      </c>
    </row>
    <row r="13" ht="20" customHeight="1">
      <c r="A13" s="14" t="inlineStr">
        <is>
          <t>Nr.</t>
        </is>
      </c>
      <c r="B13" s="15" t="inlineStr">
        <is>
          <t>Prüfpunkt</t>
        </is>
      </c>
      <c r="C13" s="15" t="inlineStr">
        <is>
          <t>Worauf achten</t>
        </is>
      </c>
      <c r="E13" s="14" t="inlineStr">
        <is>
          <t>K.O.</t>
        </is>
      </c>
      <c r="F13" s="15" t="inlineStr">
        <is>
          <t>Wer hilft</t>
        </is>
      </c>
      <c r="G13" s="14" t="inlineStr">
        <is>
          <t>Status</t>
        </is>
      </c>
      <c r="H13" s="15" t="inlineStr">
        <is>
          <t>Notiz</t>
        </is>
      </c>
    </row>
    <row r="14">
      <c r="A14" s="16" t="inlineStr">
        <is>
          <t>1. Verkäufer &amp; Erstkontakt</t>
        </is>
      </c>
    </row>
    <row r="15" ht="30" customHeight="1">
      <c r="A15" s="17" t="n">
        <v>1</v>
      </c>
      <c r="B15" s="18" t="inlineStr">
        <is>
          <t>Verkäufer ist voll geschäftsfähig</t>
        </is>
      </c>
      <c r="C15" s="19" t="inlineStr">
        <is>
          <t>Keine Anzeichen von Demenz/Verwirrtheit. Bei Zweifel: ärztliches Attest vor dem Notartermin.</t>
        </is>
      </c>
      <c r="D15" s="20" t="n"/>
      <c r="E15" s="21" t="inlineStr">
        <is>
          <t>K.O.</t>
        </is>
      </c>
      <c r="F15" s="22" t="inlineStr">
        <is>
          <t>Arzt, Notar</t>
        </is>
      </c>
      <c r="G15" s="23" t="inlineStr">
        <is>
          <t>Offen</t>
        </is>
      </c>
      <c r="H15" s="24" t="n"/>
    </row>
    <row r="16" ht="30" customHeight="1">
      <c r="A16" s="17" t="n">
        <v>2</v>
      </c>
      <c r="B16" s="18" t="inlineStr">
        <is>
          <t>Alle Eigentümer stimmen zu</t>
        </is>
      </c>
      <c r="C16" s="19" t="inlineStr">
        <is>
          <t>Alle im Grundbuch eingetragenen Personen (Ehepartner, Erbengemeinschaft) müssen unterschreiben.</t>
        </is>
      </c>
      <c r="D16" s="20" t="n"/>
      <c r="E16" s="21" t="inlineStr">
        <is>
          <t>K.O.</t>
        </is>
      </c>
      <c r="F16" s="22" t="inlineStr">
        <is>
          <t>Grundbuch, Notar</t>
        </is>
      </c>
      <c r="G16" s="23" t="inlineStr">
        <is>
          <t>Offen</t>
        </is>
      </c>
      <c r="H16" s="24" t="n"/>
    </row>
    <row r="17" ht="30" customHeight="1">
      <c r="A17" s="17" t="n">
        <v>3</v>
      </c>
      <c r="B17" s="18" t="inlineStr">
        <is>
          <t>Familie / Vertrauensperson einbezogen</t>
        </is>
      </c>
      <c r="C17" s="19" t="inlineStr">
        <is>
          <t>Kinder oder Vertrauensperson kennen das Vorhaben und waren idealerweise bei einem Gespräch dabei.</t>
        </is>
      </c>
      <c r="D17" s="20" t="n"/>
      <c r="E17" s="21" t="inlineStr"/>
      <c r="F17" s="22" t="inlineStr">
        <is>
          <t>selbst</t>
        </is>
      </c>
      <c r="G17" s="23" t="inlineStr">
        <is>
          <t>Offen</t>
        </is>
      </c>
      <c r="H17" s="24" t="n"/>
    </row>
    <row r="18" ht="30" customHeight="1">
      <c r="A18" s="17" t="n">
        <v>4</v>
      </c>
      <c r="B18" s="18" t="inlineStr">
        <is>
          <t>Motiv verstanden, kein Druck</t>
        </is>
      </c>
      <c r="C18" s="19" t="inlineStr">
        <is>
          <t>Warum verkauft er? Keine Notlage ausnutzen, kein Zeitdruck. Bedenkzeit anbieten.</t>
        </is>
      </c>
      <c r="D18" s="20" t="n"/>
      <c r="E18" s="21" t="inlineStr"/>
      <c r="F18" s="22" t="inlineStr">
        <is>
          <t>selbst</t>
        </is>
      </c>
      <c r="G18" s="23" t="inlineStr">
        <is>
          <t>Offen</t>
        </is>
      </c>
      <c r="H18" s="24" t="n"/>
    </row>
    <row r="19" ht="30" customHeight="1">
      <c r="A19" s="17" t="n">
        <v>5</v>
      </c>
      <c r="B19" s="18" t="inlineStr">
        <is>
          <t>Unabhängige Beratung angeboten</t>
        </is>
      </c>
      <c r="C19" s="19" t="inlineStr">
        <is>
          <t>Verkäufer auf Anwalt, Steuerberater oder Verbraucherzentrale hingewiesen – schriftlich festhalten.</t>
        </is>
      </c>
      <c r="D19" s="20" t="n"/>
      <c r="E19" s="21" t="inlineStr"/>
      <c r="F19" s="22" t="inlineStr">
        <is>
          <t>selbst</t>
        </is>
      </c>
      <c r="G19" s="23" t="inlineStr">
        <is>
          <t>Offen</t>
        </is>
      </c>
      <c r="H19" s="24" t="n"/>
    </row>
    <row r="20" ht="30" customHeight="1">
      <c r="A20" s="17" t="n">
        <v>6</v>
      </c>
      <c r="B20" s="18" t="inlineStr">
        <is>
          <t>Pflichtteilsberechtigte bekannt</t>
        </is>
      </c>
      <c r="C20" s="19" t="inlineStr">
        <is>
          <t>Wer erbt später? Kinder aus früheren Ehen? Wichtig für Pflichtteils- und Schenkungsrisiken.</t>
        </is>
      </c>
      <c r="D20" s="20" t="n"/>
      <c r="E20" s="21" t="inlineStr"/>
      <c r="F20" s="22" t="inlineStr">
        <is>
          <t>Notar</t>
        </is>
      </c>
      <c r="G20" s="23" t="inlineStr">
        <is>
          <t>Offen</t>
        </is>
      </c>
      <c r="H20" s="24" t="n"/>
    </row>
    <row r="21">
      <c r="A21" s="16" t="inlineStr">
        <is>
          <t>2. Unterlagen</t>
        </is>
      </c>
    </row>
    <row r="22" ht="30" customHeight="1">
      <c r="A22" s="17" t="n">
        <v>7</v>
      </c>
      <c r="B22" s="18" t="inlineStr">
        <is>
          <t>Aktueller Grundbuchauszug</t>
        </is>
      </c>
      <c r="C22" s="19" t="inlineStr">
        <is>
          <t>Abt. II: Wegerechte, Wohnrechte, Vorkaufsrechte. Abt. III: Grundschulden – werden sie gelöscht?</t>
        </is>
      </c>
      <c r="D22" s="20" t="n"/>
      <c r="E22" s="21" t="inlineStr">
        <is>
          <t>K.O.</t>
        </is>
      </c>
      <c r="F22" s="22" t="inlineStr">
        <is>
          <t>Notar, Grundbuchamt</t>
        </is>
      </c>
      <c r="G22" s="23" t="inlineStr">
        <is>
          <t>Offen</t>
        </is>
      </c>
      <c r="H22" s="24" t="n"/>
    </row>
    <row r="23" ht="30" customHeight="1">
      <c r="A23" s="17" t="n">
        <v>8</v>
      </c>
      <c r="B23" s="18" t="inlineStr">
        <is>
          <t>Baugenehmigungen inkl. Anbauten</t>
        </is>
      </c>
      <c r="C23" s="19" t="inlineStr">
        <is>
          <t>Einliegerwohnung, Anbau, ausgebautes Dachgeschoss genehmigt? Sonst evtl. nicht als Wohnung vermietbar.</t>
        </is>
      </c>
      <c r="D23" s="20" t="n"/>
      <c r="E23" s="21" t="inlineStr">
        <is>
          <t>K.O.</t>
        </is>
      </c>
      <c r="F23" s="22" t="inlineStr">
        <is>
          <t>Bauamt Landkreis Vechta</t>
        </is>
      </c>
      <c r="G23" s="23" t="inlineStr">
        <is>
          <t>Offen</t>
        </is>
      </c>
      <c r="H23" s="24" t="n"/>
    </row>
    <row r="24" ht="30" customHeight="1">
      <c r="A24" s="17" t="n">
        <v>9</v>
      </c>
      <c r="B24" s="18" t="inlineStr">
        <is>
          <t>Baulastenverzeichnis &amp; Flurkarte</t>
        </is>
      </c>
      <c r="C24" s="19" t="inlineStr">
        <is>
          <t>Baulasten (z. B. Abstandsflächen, Zufahrt) beim Landkreis abfragen.</t>
        </is>
      </c>
      <c r="D24" s="20" t="n"/>
      <c r="E24" s="21" t="inlineStr"/>
      <c r="F24" s="22" t="inlineStr">
        <is>
          <t>Landkreis Vechta</t>
        </is>
      </c>
      <c r="G24" s="23" t="inlineStr">
        <is>
          <t>Offen</t>
        </is>
      </c>
      <c r="H24" s="24" t="n"/>
    </row>
    <row r="25" ht="30" customHeight="1">
      <c r="A25" s="17" t="n">
        <v>10</v>
      </c>
      <c r="B25" s="18" t="inlineStr">
        <is>
          <t>Wohnflächenberechnung</t>
        </is>
      </c>
      <c r="C25" s="19" t="inlineStr">
        <is>
          <t>Grundlage für Miete und Kaufpreis. Nachmessen, wenn keine vorliegt.</t>
        </is>
      </c>
      <c r="D25" s="20" t="n"/>
      <c r="E25" s="21" t="inlineStr"/>
      <c r="F25" s="22" t="inlineStr">
        <is>
          <t>selbst, Sachverständiger</t>
        </is>
      </c>
      <c r="G25" s="23" t="inlineStr">
        <is>
          <t>Offen</t>
        </is>
      </c>
      <c r="H25" s="24" t="n"/>
    </row>
    <row r="26" ht="30" customHeight="1">
      <c r="A26" s="17" t="n">
        <v>11</v>
      </c>
      <c r="B26" s="18" t="inlineStr">
        <is>
          <t>Energieausweis</t>
        </is>
      </c>
      <c r="C26" s="19" t="inlineStr">
        <is>
          <t>Beim Verkauf Pflicht. Energieklasse beeinflusst Wert und Sanierungsbedarf.</t>
        </is>
      </c>
      <c r="D26" s="20" t="n"/>
      <c r="E26" s="21" t="inlineStr"/>
      <c r="F26" s="22" t="inlineStr">
        <is>
          <t>Verkäufer</t>
        </is>
      </c>
      <c r="G26" s="23" t="inlineStr">
        <is>
          <t>Offen</t>
        </is>
      </c>
      <c r="H26" s="24" t="n"/>
    </row>
    <row r="27" ht="30" customHeight="1">
      <c r="A27" s="17" t="n">
        <v>12</v>
      </c>
      <c r="B27" s="18" t="inlineStr">
        <is>
          <t>Altlastenauskunft</t>
        </is>
      </c>
      <c r="C27" s="19" t="inlineStr">
        <is>
          <t>Altlastenkataster beim Landkreis (z. B. ehemaliger Hof, Tankstelle, Öltank).</t>
        </is>
      </c>
      <c r="D27" s="20" t="n"/>
      <c r="E27" s="21" t="inlineStr"/>
      <c r="F27" s="22" t="inlineStr">
        <is>
          <t>Landkreis Vechta</t>
        </is>
      </c>
      <c r="G27" s="23" t="inlineStr">
        <is>
          <t>Offen</t>
        </is>
      </c>
      <c r="H27" s="24" t="n"/>
    </row>
    <row r="28" ht="30" customHeight="1">
      <c r="A28" s="17" t="n">
        <v>13</v>
      </c>
      <c r="B28" s="18" t="inlineStr">
        <is>
          <t>Belege über Modernisierungen</t>
        </is>
      </c>
      <c r="C28" s="19" t="inlineStr">
        <is>
          <t>Dach, Heizung, Fenster, Elektrik, Leitungen: Jahr und Rechnung.</t>
        </is>
      </c>
      <c r="D28" s="20" t="n"/>
      <c r="E28" s="21" t="inlineStr"/>
      <c r="F28" s="22" t="inlineStr">
        <is>
          <t>Verkäufer</t>
        </is>
      </c>
      <c r="G28" s="23" t="inlineStr">
        <is>
          <t>Offen</t>
        </is>
      </c>
      <c r="H28" s="24" t="n"/>
    </row>
    <row r="29" ht="30" customHeight="1">
      <c r="A29" s="17" t="n">
        <v>14</v>
      </c>
      <c r="B29" s="18" t="inlineStr">
        <is>
          <t>Versicherungen &amp; Schadenshistorie</t>
        </is>
      </c>
      <c r="C29" s="19" t="inlineStr">
        <is>
          <t>Wohngebäudeversicherung inkl. Elementar? Frühere Wasser-/Sturmschäden?</t>
        </is>
      </c>
      <c r="D29" s="20" t="n"/>
      <c r="E29" s="21" t="inlineStr"/>
      <c r="F29" s="22" t="inlineStr">
        <is>
          <t>Verkäufer, Versicherung</t>
        </is>
      </c>
      <c r="G29" s="23" t="inlineStr">
        <is>
          <t>Offen</t>
        </is>
      </c>
      <c r="H29" s="24" t="n"/>
    </row>
    <row r="30" ht="30" customHeight="1">
      <c r="A30" s="17" t="n">
        <v>15</v>
      </c>
      <c r="B30" s="18" t="inlineStr">
        <is>
          <t>Grundsteuerbescheid &amp; Nebenkosten</t>
        </is>
      </c>
      <c r="C30" s="19" t="inlineStr">
        <is>
          <t>Letzte 2–3 Jahre: Grundsteuer, Wasser, Heizkosten – für Betriebskostenabrechnung.</t>
        </is>
      </c>
      <c r="D30" s="20" t="n"/>
      <c r="E30" s="21" t="inlineStr"/>
      <c r="F30" s="22" t="inlineStr">
        <is>
          <t>Verkäufer</t>
        </is>
      </c>
      <c r="G30" s="23" t="inlineStr">
        <is>
          <t>Offen</t>
        </is>
      </c>
      <c r="H30" s="24" t="n"/>
    </row>
    <row r="31">
      <c r="A31" s="16" t="inlineStr">
        <is>
          <t>3. Technischer Zustand</t>
        </is>
      </c>
    </row>
    <row r="32" ht="30" customHeight="1">
      <c r="A32" s="17" t="n">
        <v>16</v>
      </c>
      <c r="B32" s="18" t="inlineStr">
        <is>
          <t>Bausachverständiger hat begutachtet</t>
        </is>
      </c>
      <c r="C32" s="19" t="inlineStr">
        <is>
          <t>Unabhängiger Gutachter, nicht vom Verkäufer. Kosten ca. 500–1.000 €.</t>
        </is>
      </c>
      <c r="D32" s="20" t="n"/>
      <c r="E32" s="21" t="inlineStr">
        <is>
          <t>K.O.</t>
        </is>
      </c>
      <c r="F32" s="22" t="inlineStr">
        <is>
          <t>Bausachverständiger</t>
        </is>
      </c>
      <c r="G32" s="23" t="inlineStr">
        <is>
          <t>Offen</t>
        </is>
      </c>
      <c r="H32" s="24" t="n"/>
    </row>
    <row r="33" ht="30" customHeight="1">
      <c r="A33" s="17" t="n">
        <v>17</v>
      </c>
      <c r="B33" s="18" t="inlineStr">
        <is>
          <t>Dach &amp; oberste Geschossdecke</t>
        </is>
      </c>
      <c r="C33" s="19" t="inlineStr">
        <is>
          <t>Zustand, Alter, Dämmung. GEG: ungedämmte oberste Geschossdecke muss nach Kauf gedämmt werden.</t>
        </is>
      </c>
      <c r="D33" s="20" t="n"/>
      <c r="E33" s="21" t="inlineStr"/>
      <c r="F33" s="22" t="inlineStr">
        <is>
          <t>Bausachverständiger</t>
        </is>
      </c>
      <c r="G33" s="23" t="inlineStr">
        <is>
          <t>Offen</t>
        </is>
      </c>
      <c r="H33" s="24" t="n"/>
    </row>
    <row r="34" ht="30" customHeight="1">
      <c r="A34" s="17" t="n">
        <v>18</v>
      </c>
      <c r="B34" s="18" t="inlineStr">
        <is>
          <t>Heizung: Alter und Typ</t>
        </is>
      </c>
      <c r="C34" s="19" t="inlineStr">
        <is>
          <t>Konstanttemperaturkessel über 30 Jahre: Austauschpflicht nach GEG innerhalb von 2 Jahren.</t>
        </is>
      </c>
      <c r="D34" s="20" t="n"/>
      <c r="E34" s="21" t="inlineStr"/>
      <c r="F34" s="22" t="inlineStr">
        <is>
          <t>Heizungsbauer, Schornsteinfeger</t>
        </is>
      </c>
      <c r="G34" s="23" t="inlineStr">
        <is>
          <t>Offen</t>
        </is>
      </c>
      <c r="H34" s="24" t="n"/>
    </row>
    <row r="35" ht="30" customHeight="1">
      <c r="A35" s="17" t="n">
        <v>19</v>
      </c>
      <c r="B35" s="18" t="inlineStr">
        <is>
          <t>Feuchtigkeit, Keller, Schimmel</t>
        </is>
      </c>
      <c r="C35" s="19" t="inlineStr">
        <is>
          <t>Nasse Kellerwände, Salzausblühungen, muffiger Geruch, Schimmel hinter Möbeln.</t>
        </is>
      </c>
      <c r="D35" s="20" t="n"/>
      <c r="E35" s="21" t="inlineStr"/>
      <c r="F35" s="22" t="inlineStr">
        <is>
          <t>Bausachverständiger</t>
        </is>
      </c>
      <c r="G35" s="23" t="inlineStr">
        <is>
          <t>Offen</t>
        </is>
      </c>
      <c r="H35" s="24" t="n"/>
    </row>
    <row r="36" ht="30" customHeight="1">
      <c r="A36" s="17" t="n">
        <v>20</v>
      </c>
      <c r="B36" s="18" t="inlineStr">
        <is>
          <t>Asbest &amp; Schadstoffe</t>
        </is>
      </c>
      <c r="C36" s="19" t="inlineStr">
        <is>
          <t>Eternit-Dach/-Fassade, Floor-Flex-Platten, Nachtspeicheröfen (60er–80er Jahre).</t>
        </is>
      </c>
      <c r="D36" s="20" t="n"/>
      <c r="E36" s="21" t="inlineStr"/>
      <c r="F36" s="22" t="inlineStr">
        <is>
          <t>Bausachverständiger</t>
        </is>
      </c>
      <c r="G36" s="23" t="inlineStr">
        <is>
          <t>Offen</t>
        </is>
      </c>
      <c r="H36" s="24" t="n"/>
    </row>
    <row r="37" ht="30" customHeight="1">
      <c r="A37" s="17" t="n">
        <v>21</v>
      </c>
      <c r="B37" s="18" t="inlineStr">
        <is>
          <t>Elektrik &amp; Leitungen</t>
        </is>
      </c>
      <c r="C37" s="19" t="inlineStr">
        <is>
          <t>Alte Elektrik ohne FI-Schutz, Bleileitungen (bis ca. 1973).</t>
        </is>
      </c>
      <c r="D37" s="20" t="n"/>
      <c r="E37" s="21" t="inlineStr"/>
      <c r="F37" s="22" t="inlineStr">
        <is>
          <t>Elektriker, Installateur</t>
        </is>
      </c>
      <c r="G37" s="23" t="inlineStr">
        <is>
          <t>Offen</t>
        </is>
      </c>
      <c r="H37" s="24" t="n"/>
    </row>
    <row r="38" ht="30" customHeight="1">
      <c r="A38" s="17" t="n">
        <v>22</v>
      </c>
      <c r="B38" s="18" t="inlineStr">
        <is>
          <t>Fenster &amp; Fassade</t>
        </is>
      </c>
      <c r="C38" s="19" t="inlineStr">
        <is>
          <t>Einfachverglasung, Risse, Feuchtigkeit.</t>
        </is>
      </c>
      <c r="D38" s="20" t="n"/>
      <c r="E38" s="21" t="inlineStr"/>
      <c r="F38" s="22" t="inlineStr">
        <is>
          <t>Bausachverständiger</t>
        </is>
      </c>
      <c r="G38" s="23" t="inlineStr">
        <is>
          <t>Offen</t>
        </is>
      </c>
      <c r="H38" s="24" t="n"/>
    </row>
    <row r="39" ht="30" customHeight="1">
      <c r="A39" s="17" t="n">
        <v>23</v>
      </c>
      <c r="B39" s="18" t="inlineStr">
        <is>
          <t>Sofort-Investitionen geschätzt</t>
        </is>
      </c>
      <c r="C39" s="19" t="inlineStr">
        <is>
          <t>Summe aller Pflicht- und dringenden Maßnahmen im Excel-Rechner eingetragen.</t>
        </is>
      </c>
      <c r="D39" s="20" t="n"/>
      <c r="E39" s="21" t="inlineStr">
        <is>
          <t>K.O.</t>
        </is>
      </c>
      <c r="F39" s="22" t="inlineStr">
        <is>
          <t>selbst</t>
        </is>
      </c>
      <c r="G39" s="23" t="inlineStr">
        <is>
          <t>Offen</t>
        </is>
      </c>
      <c r="H39" s="24" t="n"/>
    </row>
    <row r="40">
      <c r="A40" s="16" t="inlineStr">
        <is>
          <t>4. Wert &amp; Preis</t>
        </is>
      </c>
    </row>
    <row r="41" ht="30" customHeight="1">
      <c r="A41" s="17" t="n">
        <v>24</v>
      </c>
      <c r="B41" s="18" t="inlineStr">
        <is>
          <t>Verkehrswertgutachten liegt vor</t>
        </is>
      </c>
      <c r="C41" s="19" t="inlineStr">
        <is>
          <t>Unabhängige Wertermittlung. Schützt vor Sittenwidrigkeit, Pflichtteils- und Sozialamt-Forderungen.</t>
        </is>
      </c>
      <c r="D41" s="20" t="n"/>
      <c r="E41" s="21" t="inlineStr">
        <is>
          <t>K.O.</t>
        </is>
      </c>
      <c r="F41" s="22" t="inlineStr">
        <is>
          <t>Gutachter</t>
        </is>
      </c>
      <c r="G41" s="23" t="inlineStr">
        <is>
          <t>Offen</t>
        </is>
      </c>
      <c r="H41" s="24" t="n"/>
    </row>
    <row r="42" ht="30" customHeight="1">
      <c r="A42" s="17" t="n">
        <v>25</v>
      </c>
      <c r="B42" s="18" t="inlineStr">
        <is>
          <t>Kaufpreis nicht grob unter Wert</t>
        </is>
      </c>
      <c r="C42" s="19" t="inlineStr">
        <is>
          <t>Abschlag nur begründet (Vermietung, Kündigungsverzicht, Sanierung). Quote oben im Blatt beachten.</t>
        </is>
      </c>
      <c r="D42" s="20" t="n"/>
      <c r="E42" s="21" t="inlineStr">
        <is>
          <t>K.O.</t>
        </is>
      </c>
      <c r="F42" s="22" t="inlineStr">
        <is>
          <t>Gutachter, Notar</t>
        </is>
      </c>
      <c r="G42" s="23" t="inlineStr">
        <is>
          <t>Offen</t>
        </is>
      </c>
      <c r="H42" s="24" t="n"/>
    </row>
    <row r="43" ht="30" customHeight="1">
      <c r="A43" s="17" t="n">
        <v>26</v>
      </c>
      <c r="B43" s="18" t="inlineStr">
        <is>
          <t>Bodenrichtwert geprüft</t>
        </is>
      </c>
      <c r="C43" s="19" t="inlineStr">
        <is>
          <t>BORIS Niedersachsen: Grundstückswert pro m².</t>
        </is>
      </c>
      <c r="D43" s="20" t="n"/>
      <c r="E43" s="21" t="inlineStr"/>
      <c r="F43" s="22" t="inlineStr">
        <is>
          <t>selbst</t>
        </is>
      </c>
      <c r="G43" s="23" t="inlineStr">
        <is>
          <t>Offen</t>
        </is>
      </c>
      <c r="H43" s="24" t="n"/>
    </row>
    <row r="44" ht="30" customHeight="1">
      <c r="A44" s="17" t="n">
        <v>27</v>
      </c>
      <c r="B44" s="18" t="inlineStr">
        <is>
          <t>Vergleichspreise geprüft</t>
        </is>
      </c>
      <c r="C44" s="19" t="inlineStr">
        <is>
          <t>Grundstücksmarktbericht Gutachterausschuss Oldenburg-Cloppenburg, Inserate in Damme.</t>
        </is>
      </c>
      <c r="D44" s="20" t="n"/>
      <c r="E44" s="21" t="inlineStr"/>
      <c r="F44" s="22" t="inlineStr">
        <is>
          <t>selbst</t>
        </is>
      </c>
      <c r="G44" s="23" t="inlineStr">
        <is>
          <t>Offen</t>
        </is>
      </c>
      <c r="H44" s="24" t="n"/>
    </row>
    <row r="45" ht="30" customHeight="1">
      <c r="A45" s="17" t="n">
        <v>28</v>
      </c>
      <c r="B45" s="18" t="inlineStr">
        <is>
          <t>Rechner durchgespielt</t>
        </is>
      </c>
      <c r="C45" s="19" t="inlineStr">
        <is>
          <t>Cashflow, Kaufpreisfaktor, max. Kaufpreis. Stresstest: Anschlusszins +2 %-Punkte.</t>
        </is>
      </c>
      <c r="D45" s="20" t="n"/>
      <c r="E45" s="21" t="inlineStr"/>
      <c r="F45" s="22" t="inlineStr">
        <is>
          <t>selbst</t>
        </is>
      </c>
      <c r="G45" s="23" t="inlineStr">
        <is>
          <t>Offen</t>
        </is>
      </c>
      <c r="H45" s="24" t="n"/>
    </row>
    <row r="46">
      <c r="A46" s="16" t="inlineStr">
        <is>
          <t>5. Finanzierung</t>
        </is>
      </c>
    </row>
    <row r="47" ht="30" customHeight="1">
      <c r="A47" s="17" t="n">
        <v>29</v>
      </c>
      <c r="B47" s="18" t="inlineStr">
        <is>
          <t>Finanzierungszusage der Bank</t>
        </is>
      </c>
      <c r="C47" s="19" t="inlineStr">
        <is>
          <t>Inkl. Bewertung mit Kündigungsverzicht bzw. Wohnrecht. Beleihungswert erfragen.</t>
        </is>
      </c>
      <c r="D47" s="20" t="n"/>
      <c r="E47" s="21" t="inlineStr">
        <is>
          <t>K.O.</t>
        </is>
      </c>
      <c r="F47" s="22" t="inlineStr">
        <is>
          <t>Bank</t>
        </is>
      </c>
      <c r="G47" s="23" t="inlineStr">
        <is>
          <t>Offen</t>
        </is>
      </c>
      <c r="H47" s="24" t="n"/>
    </row>
    <row r="48" ht="30" customHeight="1">
      <c r="A48" s="17" t="n">
        <v>30</v>
      </c>
      <c r="B48" s="18" t="inlineStr">
        <is>
          <t>Eigenkapital + Nebenkosten verfügbar</t>
        </is>
      </c>
      <c r="C48" s="19" t="inlineStr">
        <is>
          <t>Grunderwerbsteuer 5 %, Notar/Grundbuch ca. 2 %, Gutachten.</t>
        </is>
      </c>
      <c r="D48" s="20" t="n"/>
      <c r="E48" s="21" t="inlineStr">
        <is>
          <t>K.O.</t>
        </is>
      </c>
      <c r="F48" s="22" t="inlineStr">
        <is>
          <t>selbst</t>
        </is>
      </c>
      <c r="G48" s="23" t="inlineStr">
        <is>
          <t>Offen</t>
        </is>
      </c>
      <c r="H48" s="24" t="n"/>
    </row>
    <row r="49" ht="30" customHeight="1">
      <c r="A49" s="17" t="n">
        <v>31</v>
      </c>
      <c r="B49" s="18" t="inlineStr">
        <is>
          <t>Liquiditätsreserve vorhanden</t>
        </is>
      </c>
      <c r="C49" s="19" t="inlineStr">
        <is>
          <t>Mindestens 6 Kreditraten + Kosten der Sofort-Investitionen.</t>
        </is>
      </c>
      <c r="D49" s="20" t="n"/>
      <c r="E49" s="21" t="inlineStr"/>
      <c r="F49" s="22" t="inlineStr">
        <is>
          <t>selbst</t>
        </is>
      </c>
      <c r="G49" s="23" t="inlineStr">
        <is>
          <t>Offen</t>
        </is>
      </c>
      <c r="H49" s="24" t="n"/>
    </row>
    <row r="50" ht="30" customHeight="1">
      <c r="A50" s="17" t="n">
        <v>32</v>
      </c>
      <c r="B50" s="18" t="inlineStr">
        <is>
          <t>Zinsbindung &amp; Sondertilgung geklärt</t>
        </is>
      </c>
      <c r="C50" s="19" t="inlineStr">
        <is>
          <t>Möglichst lange Zinsbindung, 5 % Sondertilgung pro Jahr.</t>
        </is>
      </c>
      <c r="D50" s="20" t="n"/>
      <c r="E50" s="21" t="inlineStr"/>
      <c r="F50" s="22" t="inlineStr">
        <is>
          <t>Bank</t>
        </is>
      </c>
      <c r="G50" s="23" t="inlineStr">
        <is>
          <t>Offen</t>
        </is>
      </c>
      <c r="H50" s="24" t="n"/>
    </row>
    <row r="51" ht="30" customHeight="1">
      <c r="A51" s="17" t="n">
        <v>33</v>
      </c>
      <c r="B51" s="18" t="inlineStr">
        <is>
          <t>Monatlicher Zuschuss dauerhaft tragbar</t>
        </is>
      </c>
      <c r="C51" s="19" t="inlineStr">
        <is>
          <t>Negativer Cashflow aus dem eigenen Einkommen – auch bei Jobwechsel, Studium, Elternzeit?</t>
        </is>
      </c>
      <c r="D51" s="20" t="n"/>
      <c r="E51" s="21" t="inlineStr">
        <is>
          <t>K.O.</t>
        </is>
      </c>
      <c r="F51" s="22" t="inlineStr">
        <is>
          <t>selbst</t>
        </is>
      </c>
      <c r="G51" s="23" t="inlineStr">
        <is>
          <t>Offen</t>
        </is>
      </c>
      <c r="H51" s="24" t="n"/>
    </row>
    <row r="52">
      <c r="A52" s="16" t="inlineStr">
        <is>
          <t>6. Mietvertrag &amp; Wohnrecht</t>
        </is>
      </c>
    </row>
    <row r="53" ht="30" customHeight="1">
      <c r="A53" s="17" t="n">
        <v>34</v>
      </c>
      <c r="B53" s="18" t="inlineStr">
        <is>
          <t>Miete ortsüblich festgelegt</t>
        </is>
      </c>
      <c r="C53" s="19" t="inlineStr">
        <is>
          <t>Mietspiegel-Werte Damme. Nicht unter 66 % der ortsüblichen Miete (Steuer!).</t>
        </is>
      </c>
      <c r="D53" s="20" t="n"/>
      <c r="E53" s="21" t="inlineStr">
        <is>
          <t>K.O.</t>
        </is>
      </c>
      <c r="F53" s="22" t="inlineStr">
        <is>
          <t>Mietspiegel, Haus &amp; Grund</t>
        </is>
      </c>
      <c r="G53" s="23" t="inlineStr">
        <is>
          <t>Offen</t>
        </is>
      </c>
      <c r="H53" s="24" t="n"/>
    </row>
    <row r="54" ht="30" customHeight="1">
      <c r="A54" s="17" t="n">
        <v>35</v>
      </c>
      <c r="B54" s="18" t="inlineStr">
        <is>
          <t>Index- oder Staffelmiete</t>
        </is>
      </c>
      <c r="C54" s="19" t="inlineStr">
        <is>
          <t>Sonst sind spätere Erhöhungen nur eingeschränkt möglich.</t>
        </is>
      </c>
      <c r="D54" s="20" t="n"/>
      <c r="E54" s="21" t="inlineStr"/>
      <c r="F54" s="22" t="inlineStr">
        <is>
          <t>Anwalt, Haus &amp; Grund</t>
        </is>
      </c>
      <c r="G54" s="23" t="inlineStr">
        <is>
          <t>Offen</t>
        </is>
      </c>
      <c r="H54" s="24" t="n"/>
    </row>
    <row r="55" ht="30" customHeight="1">
      <c r="A55" s="17" t="n">
        <v>36</v>
      </c>
      <c r="B55" s="18" t="inlineStr">
        <is>
          <t>Kündigungsverzicht klar formuliert</t>
        </is>
      </c>
      <c r="C55" s="19" t="inlineStr">
        <is>
          <t>Wie lange, für wen (Ehepartner?), was gilt bei Auszug ins Pflegeheim?</t>
        </is>
      </c>
      <c r="D55" s="20" t="n"/>
      <c r="E55" s="21" t="inlineStr"/>
      <c r="F55" s="22" t="inlineStr">
        <is>
          <t>Anwalt</t>
        </is>
      </c>
      <c r="G55" s="23" t="inlineStr">
        <is>
          <t>Offen</t>
        </is>
      </c>
      <c r="H55" s="24" t="n"/>
    </row>
    <row r="56" ht="30" customHeight="1">
      <c r="A56" s="17" t="n">
        <v>37</v>
      </c>
      <c r="B56" s="18" t="inlineStr">
        <is>
          <t>Wohnrecht im Grundbuch bewusst entschieden</t>
        </is>
      </c>
      <c r="C56" s="19" t="inlineStr">
        <is>
          <t>Beruhigt den Verkäufer, senkt aber Beleihungswert und Verkaufbarkeit. Rang mit Bank abstimmen.</t>
        </is>
      </c>
      <c r="D56" s="20" t="n"/>
      <c r="E56" s="21" t="inlineStr"/>
      <c r="F56" s="22" t="inlineStr">
        <is>
          <t>Notar, Bank</t>
        </is>
      </c>
      <c r="G56" s="23" t="inlineStr">
        <is>
          <t>Offen</t>
        </is>
      </c>
      <c r="H56" s="24" t="n"/>
    </row>
    <row r="57" ht="30" customHeight="1">
      <c r="A57" s="17" t="n">
        <v>38</v>
      </c>
      <c r="B57" s="18" t="inlineStr">
        <is>
          <t>Kleinreparaturen, Betriebskosten, Kaution</t>
        </is>
      </c>
      <c r="C57" s="19" t="inlineStr">
        <is>
          <t>Kleinreparaturklausel, Umlage aller Betriebskosten, Kaution geregelt.</t>
        </is>
      </c>
      <c r="D57" s="20" t="n"/>
      <c r="E57" s="21" t="inlineStr"/>
      <c r="F57" s="22" t="inlineStr">
        <is>
          <t>Anwalt, Haus &amp; Grund</t>
        </is>
      </c>
      <c r="G57" s="23" t="inlineStr">
        <is>
          <t>Offen</t>
        </is>
      </c>
      <c r="H57" s="24" t="n"/>
    </row>
    <row r="58" ht="30" customHeight="1">
      <c r="A58" s="17" t="n">
        <v>39</v>
      </c>
      <c r="B58" s="18" t="inlineStr">
        <is>
          <t>Mietvertrag geprüft</t>
        </is>
      </c>
      <c r="C58" s="19" t="inlineStr">
        <is>
          <t>Von Anwalt oder Haus &amp; Grund, abgestimmt auf den Kaufvertrag (Beginn = Besitzübergang).</t>
        </is>
      </c>
      <c r="D58" s="20" t="n"/>
      <c r="E58" s="21" t="inlineStr">
        <is>
          <t>K.O.</t>
        </is>
      </c>
      <c r="F58" s="22" t="inlineStr">
        <is>
          <t>Anwalt, Haus &amp; Grund</t>
        </is>
      </c>
      <c r="G58" s="23" t="inlineStr">
        <is>
          <t>Offen</t>
        </is>
      </c>
      <c r="H58" s="24" t="n"/>
    </row>
    <row r="59">
      <c r="A59" s="16" t="inlineStr">
        <is>
          <t>7. Kaufvertrag &amp; Recht</t>
        </is>
      </c>
    </row>
    <row r="60" ht="30" customHeight="1">
      <c r="A60" s="17" t="n">
        <v>40</v>
      </c>
      <c r="B60" s="18" t="inlineStr">
        <is>
          <t>Vertragsentwurf rechtzeitig erhalten</t>
        </is>
      </c>
      <c r="C60" s="19" t="inlineStr">
        <is>
          <t>Entwurf mindestens 14 Tage vor dem Termin an beide Seiten. Genug Zeit zum Prüfen.</t>
        </is>
      </c>
      <c r="D60" s="20" t="n"/>
      <c r="E60" s="21" t="inlineStr"/>
      <c r="F60" s="22" t="inlineStr">
        <is>
          <t>Notar</t>
        </is>
      </c>
      <c r="G60" s="23" t="inlineStr">
        <is>
          <t>Offen</t>
        </is>
      </c>
      <c r="H60" s="24" t="n"/>
    </row>
    <row r="61" ht="30" customHeight="1">
      <c r="A61" s="17" t="n">
        <v>41</v>
      </c>
      <c r="B61" s="18" t="inlineStr">
        <is>
          <t>Bekannte Mängel dokumentiert</t>
        </is>
      </c>
      <c r="C61" s="19" t="inlineStr">
        <is>
          <t>Mängel aus dem Gutachten im Vertrag erwähnt. Gewährleistungsausschluss verstanden.</t>
        </is>
      </c>
      <c r="D61" s="20" t="n"/>
      <c r="E61" s="21" t="inlineStr"/>
      <c r="F61" s="22" t="inlineStr">
        <is>
          <t>Notar</t>
        </is>
      </c>
      <c r="G61" s="23" t="inlineStr">
        <is>
          <t>Offen</t>
        </is>
      </c>
      <c r="H61" s="24" t="n"/>
    </row>
    <row r="62" ht="30" customHeight="1">
      <c r="A62" s="17" t="n">
        <v>42</v>
      </c>
      <c r="B62" s="18" t="inlineStr">
        <is>
          <t>Schenkungsrisiken ausgeschlossen</t>
        </is>
      </c>
      <c r="C62" s="19" t="inlineStr">
        <is>
          <t>Fairer Preis = kein Pflichtteilsergänzungs- oder Sozialamt-Rückforderungsrisiko (10 Jahre).</t>
        </is>
      </c>
      <c r="D62" s="20" t="n"/>
      <c r="E62" s="21" t="inlineStr">
        <is>
          <t>K.O.</t>
        </is>
      </c>
      <c r="F62" s="22" t="inlineStr">
        <is>
          <t>Notar, Anwalt</t>
        </is>
      </c>
      <c r="G62" s="23" t="inlineStr">
        <is>
          <t>Offen</t>
        </is>
      </c>
      <c r="H62" s="24" t="n"/>
    </row>
    <row r="63" ht="30" customHeight="1">
      <c r="A63" s="17" t="n">
        <v>43</v>
      </c>
      <c r="B63" s="18" t="inlineStr">
        <is>
          <t>Vorkaufsrecht der Gemeinde geklärt</t>
        </is>
      </c>
      <c r="C63" s="19" t="inlineStr">
        <is>
          <t>Wird vom Notar abgefragt.</t>
        </is>
      </c>
      <c r="D63" s="20" t="n"/>
      <c r="E63" s="21" t="inlineStr"/>
      <c r="F63" s="22" t="inlineStr">
        <is>
          <t>Notar</t>
        </is>
      </c>
      <c r="G63" s="23" t="inlineStr">
        <is>
          <t>Offen</t>
        </is>
      </c>
      <c r="H63" s="24" t="n"/>
    </row>
    <row r="64">
      <c r="A64" s="16" t="inlineStr">
        <is>
          <t>8. Steuer</t>
        </is>
      </c>
    </row>
    <row r="65" ht="30" customHeight="1">
      <c r="A65" s="17" t="n">
        <v>44</v>
      </c>
      <c r="B65" s="18" t="inlineStr">
        <is>
          <t>Aufteilung Boden / Gebäude</t>
        </is>
      </c>
      <c r="C65" s="19" t="inlineStr">
        <is>
          <t>Im Kaufvertrag festhalten; mit BMF-Arbeitshilfe prüfen lassen. Beeinflusst AfA.</t>
        </is>
      </c>
      <c r="D65" s="20" t="n"/>
      <c r="E65" s="21" t="inlineStr"/>
      <c r="F65" s="22" t="inlineStr">
        <is>
          <t>Steuerberater</t>
        </is>
      </c>
      <c r="G65" s="23" t="inlineStr">
        <is>
          <t>Offen</t>
        </is>
      </c>
      <c r="H65" s="24" t="n"/>
    </row>
    <row r="66" ht="30" customHeight="1">
      <c r="A66" s="17" t="n">
        <v>45</v>
      </c>
      <c r="B66" s="18" t="inlineStr">
        <is>
          <t>15-%-Grenze bei Sanierung beachtet</t>
        </is>
      </c>
      <c r="C66" s="19" t="inlineStr">
        <is>
          <t>Mehr als 15 % des Gebäudewerts in 3 Jahren → nur über AfA absetzbar.</t>
        </is>
      </c>
      <c r="D66" s="20" t="n"/>
      <c r="E66" s="21" t="inlineStr"/>
      <c r="F66" s="22" t="inlineStr">
        <is>
          <t>Steuerberater</t>
        </is>
      </c>
      <c r="G66" s="23" t="inlineStr">
        <is>
          <t>Offen</t>
        </is>
      </c>
      <c r="H66" s="24" t="n"/>
    </row>
    <row r="67" ht="30" customHeight="1">
      <c r="A67" s="17" t="n">
        <v>46</v>
      </c>
      <c r="B67" s="18" t="inlineStr">
        <is>
          <t>AfA-Satz nach Baujahr</t>
        </is>
      </c>
      <c r="C67" s="19" t="inlineStr">
        <is>
          <t>2 % (Baujahr 1925–2022), 2,5 % (vor 1925).</t>
        </is>
      </c>
      <c r="D67" s="20" t="n"/>
      <c r="E67" s="21" t="inlineStr"/>
      <c r="F67" s="22" t="inlineStr">
        <is>
          <t>Steuerberater</t>
        </is>
      </c>
      <c r="G67" s="23" t="inlineStr">
        <is>
          <t>Offen</t>
        </is>
      </c>
      <c r="H67" s="24" t="n"/>
    </row>
    <row r="68" ht="30" customHeight="1">
      <c r="A68" s="17" t="n">
        <v>47</v>
      </c>
      <c r="B68" s="18" t="inlineStr">
        <is>
          <t>Spekulationsfrist 10 Jahre eingeplant</t>
        </is>
      </c>
      <c r="C68" s="19" t="inlineStr">
        <is>
          <t>Verkauf mit Gewinn vor 10 Jahren ist steuerpflichtig.</t>
        </is>
      </c>
      <c r="D68" s="20" t="n"/>
      <c r="E68" s="21" t="inlineStr"/>
      <c r="F68" s="22" t="inlineStr">
        <is>
          <t>Steuerberater</t>
        </is>
      </c>
      <c r="G68" s="23" t="inlineStr">
        <is>
          <t>Offen</t>
        </is>
      </c>
      <c r="H68" s="24" t="n"/>
    </row>
    <row r="69">
      <c r="A69" s="16" t="inlineStr">
        <is>
          <t>9. Nach dem Kauf</t>
        </is>
      </c>
    </row>
    <row r="70" ht="30" customHeight="1">
      <c r="A70" s="17" t="n">
        <v>48</v>
      </c>
      <c r="B70" s="18" t="inlineStr">
        <is>
          <t>Versicherungen umgestellt</t>
        </is>
      </c>
      <c r="C70" s="19" t="inlineStr">
        <is>
          <t>Wohngebäude inkl. Elementar, Haus- und Grundbesitzerhaftpflicht.</t>
        </is>
      </c>
      <c r="D70" s="20" t="n"/>
      <c r="E70" s="21" t="inlineStr"/>
      <c r="F70" s="22" t="inlineStr">
        <is>
          <t>Versicherung</t>
        </is>
      </c>
      <c r="G70" s="23" t="inlineStr">
        <is>
          <t>Offen</t>
        </is>
      </c>
      <c r="H70" s="24" t="n"/>
    </row>
    <row r="71" ht="30" customHeight="1">
      <c r="A71" s="17" t="n">
        <v>49</v>
      </c>
      <c r="B71" s="18" t="inlineStr">
        <is>
          <t>GEG-Fristen im Kalender</t>
        </is>
      </c>
      <c r="C71" s="19" t="inlineStr">
        <is>
          <t>2 Jahre ab Eigentumsübergang für Nachrüstpflichten.</t>
        </is>
      </c>
      <c r="D71" s="20" t="n"/>
      <c r="E71" s="21" t="inlineStr"/>
      <c r="F71" s="22" t="inlineStr">
        <is>
          <t>selbst</t>
        </is>
      </c>
      <c r="G71" s="23" t="inlineStr">
        <is>
          <t>Offen</t>
        </is>
      </c>
      <c r="H71" s="24" t="n"/>
    </row>
    <row r="72" ht="30" customHeight="1">
      <c r="A72" s="17" t="n">
        <v>50</v>
      </c>
      <c r="B72" s="18" t="inlineStr">
        <is>
          <t>Konto für Instandhaltungsrücklage</t>
        </is>
      </c>
      <c r="C72" s="19" t="inlineStr">
        <is>
          <t>Monatlicher Dauerauftrag in Höhe der Rücklage aus dem Rechner.</t>
        </is>
      </c>
      <c r="D72" s="20" t="n"/>
      <c r="E72" s="21" t="inlineStr"/>
      <c r="F72" s="22" t="inlineStr">
        <is>
          <t>selbst</t>
        </is>
      </c>
      <c r="G72" s="23" t="inlineStr">
        <is>
          <t>Offen</t>
        </is>
      </c>
      <c r="H72" s="24" t="n"/>
    </row>
    <row r="73" ht="30" customHeight="1">
      <c r="A73" s="17" t="n">
        <v>51</v>
      </c>
      <c r="B73" s="18" t="inlineStr">
        <is>
          <t>Grundsteuer &amp; Versorger umgemeldet</t>
        </is>
      </c>
      <c r="C73" s="19" t="inlineStr">
        <is>
          <t>Stadt Damme, Wasser, ggf. Müll.</t>
        </is>
      </c>
      <c r="D73" s="20" t="n"/>
      <c r="E73" s="21" t="inlineStr"/>
      <c r="F73" s="22" t="inlineStr">
        <is>
          <t>selbst</t>
        </is>
      </c>
      <c r="G73" s="23" t="inlineStr">
        <is>
          <t>Offen</t>
        </is>
      </c>
      <c r="H73" s="24" t="n"/>
    </row>
    <row r="74" ht="30" customHeight="1">
      <c r="A74" s="17" t="n">
        <v>52</v>
      </c>
      <c r="B74" s="18" t="inlineStr">
        <is>
          <t>Erste Betriebskostenabrechnung geplant</t>
        </is>
      </c>
      <c r="C74" s="19" t="inlineStr">
        <is>
          <t>Frist: 12 Monate nach Ende des Abrechnungszeitraums.</t>
        </is>
      </c>
      <c r="D74" s="20" t="n"/>
      <c r="E74" s="21" t="inlineStr"/>
      <c r="F74" s="22" t="inlineStr">
        <is>
          <t>selbst</t>
        </is>
      </c>
      <c r="G74" s="23" t="inlineStr">
        <is>
          <t>Offen</t>
        </is>
      </c>
      <c r="H74" s="24" t="n"/>
    </row>
    <row r="75" ht="30" customHeight="1">
      <c r="A75" s="17" t="n">
        <v>53</v>
      </c>
      <c r="B75" s="18" t="inlineStr">
        <is>
          <t>Fester Kontaktweg mit dem Mieter</t>
        </is>
      </c>
      <c r="C75" s="19" t="inlineStr">
        <is>
          <t>Telefonnummer, Ansprechpartner in der Familie, regelmäßiger Besuch.</t>
        </is>
      </c>
      <c r="D75" s="20" t="n"/>
      <c r="E75" s="21" t="inlineStr"/>
      <c r="F75" s="22" t="inlineStr">
        <is>
          <t>selbst</t>
        </is>
      </c>
      <c r="G75" s="23" t="inlineStr">
        <is>
          <t>Offen</t>
        </is>
      </c>
      <c r="H75" s="24" t="n"/>
    </row>
    <row r="77" ht="28" customHeight="1">
      <c r="A77" s="25" t="inlineStr">
        <is>
          <t>K.O. = Wenn dieser Punkt nicht erfüllt ist oder ein Problem zeigt, nicht kaufen. Keine Rechts- oder Steuerberatung – rechtliche und steuerliche Punkte mit Notar, Anwalt und Steuerberater klären.</t>
        </is>
      </c>
    </row>
  </sheetData>
  <mergeCells count="72">
    <mergeCell ref="C34:D34"/>
    <mergeCell ref="C6:D6"/>
    <mergeCell ref="C24:D24"/>
    <mergeCell ref="C30:D30"/>
    <mergeCell ref="A59:H59"/>
    <mergeCell ref="C15:D15"/>
    <mergeCell ref="C33:D33"/>
    <mergeCell ref="C62:D62"/>
    <mergeCell ref="C68:D68"/>
    <mergeCell ref="A77:H77"/>
    <mergeCell ref="C5:D5"/>
    <mergeCell ref="C42:D42"/>
    <mergeCell ref="C58:D58"/>
    <mergeCell ref="A64:H64"/>
    <mergeCell ref="C45:D45"/>
    <mergeCell ref="E9:G9"/>
    <mergeCell ref="C74:D74"/>
    <mergeCell ref="C26:D26"/>
    <mergeCell ref="C35:D35"/>
    <mergeCell ref="C4:D4"/>
    <mergeCell ref="C73:D73"/>
    <mergeCell ref="C20:D20"/>
    <mergeCell ref="C29:D29"/>
    <mergeCell ref="C47:D47"/>
    <mergeCell ref="C16:D16"/>
    <mergeCell ref="C54:D54"/>
    <mergeCell ref="A69:H69"/>
    <mergeCell ref="C25:D25"/>
    <mergeCell ref="C63:D63"/>
    <mergeCell ref="C41:D41"/>
    <mergeCell ref="C65:D65"/>
    <mergeCell ref="C55:D55"/>
    <mergeCell ref="C50:D50"/>
    <mergeCell ref="C44:D44"/>
    <mergeCell ref="C75:D75"/>
    <mergeCell ref="C22:D22"/>
    <mergeCell ref="C9:D9"/>
    <mergeCell ref="A46:H46"/>
    <mergeCell ref="C56:D56"/>
    <mergeCell ref="C43:D43"/>
    <mergeCell ref="I12:J12"/>
    <mergeCell ref="A21:H21"/>
    <mergeCell ref="C60:D60"/>
    <mergeCell ref="C51:D51"/>
    <mergeCell ref="C27:D27"/>
    <mergeCell ref="C71:D71"/>
    <mergeCell ref="C36:D36"/>
    <mergeCell ref="C61:D61"/>
    <mergeCell ref="A14:H14"/>
    <mergeCell ref="C70:D70"/>
    <mergeCell ref="C48:D48"/>
    <mergeCell ref="C23:D23"/>
    <mergeCell ref="C17:D17"/>
    <mergeCell ref="C39:D39"/>
    <mergeCell ref="C8:D8"/>
    <mergeCell ref="C32:D32"/>
    <mergeCell ref="C7:D7"/>
    <mergeCell ref="C38:D38"/>
    <mergeCell ref="C72:D72"/>
    <mergeCell ref="C67:D67"/>
    <mergeCell ref="C19:D19"/>
    <mergeCell ref="C37:D37"/>
    <mergeCell ref="A52:H52"/>
    <mergeCell ref="C57:D57"/>
    <mergeCell ref="C28:D28"/>
    <mergeCell ref="C66:D66"/>
    <mergeCell ref="C13:D13"/>
    <mergeCell ref="C18:D18"/>
    <mergeCell ref="C53:D53"/>
    <mergeCell ref="A31:H31"/>
    <mergeCell ref="C49:D49"/>
    <mergeCell ref="A40:H40"/>
  </mergeCells>
  <conditionalFormatting sqref="G14:G75">
    <cfRule type="expression" priority="1" dxfId="0">
      <formula>G14="Erledigt"</formula>
    </cfRule>
    <cfRule type="expression" priority="2" dxfId="1">
      <formula>G14="Problem"</formula>
    </cfRule>
    <cfRule type="expression" priority="3" dxfId="2">
      <formula>G14="Entfällt"</formula>
    </cfRule>
  </conditionalFormatting>
  <conditionalFormatting sqref="I12">
    <cfRule type="expression" priority="4" dxfId="3">
      <formula>LEFT($I$12,5)="STOPP"</formula>
    </cfRule>
    <cfRule type="expression" priority="5" dxfId="4">
      <formula>LEFT($I$12,6)="Bereit"</formula>
    </cfRule>
    <cfRule type="expression" priority="6" dxfId="5">
      <formula>LEFT($I$12,5)="Noch "</formula>
    </cfRule>
  </conditionalFormatting>
  <conditionalFormatting sqref="E9">
    <cfRule type="expression" priority="7" dxfId="6">
      <formula>LEFT($E$9,6)="Gefahr"</formula>
    </cfRule>
    <cfRule type="expression" priority="8" dxfId="7">
      <formula>LEFT($E$9,5)="Preis"</formula>
    </cfRule>
    <cfRule type="expression" priority="9" dxfId="8">
      <formula>OR(LEFT($E$9,5)="Ohne ",LEFT($E$9,5)="Deutl")</formula>
    </cfRule>
  </conditionalFormatting>
  <dataValidations count="1">
    <dataValidation sqref="G15 G16 G17 G18 G19 G20 G22 G23 G24 G25 G26 G27 G28 G29 G30 G32 G33 G34 G35 G36 G37 G38 G39 G41 G42 G43 G44 G45 G47 G48 G49 G50 G51 G53 G54 G55 G56 G57 G58 G60 G61 G62 G63 G65 G66 G67 G68 G70 G71 G72 G73 G74 G75" showDropDown="0" showInputMessage="0" showErrorMessage="1" allowBlank="0" errorTitle="Status" error="Bitte Offen, Erledigt, Problem oder Entfällt wählen." type="list">
      <formula1>"Offen,Erledigt,Problem,Entfällt"</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2026-09-27T20:28:48Z</dcterms:created>
  <dcterms:modified xmlns:dcterms="http://purl.org/dc/terms/" xmlns:xsi="http://www.w3.org/2001/XMLSchema-instance" xsi:type="dcterms:W3CDTF">2026-09-27T20:28:48Z</dcterms:modified>
</cp:coreProperties>
</file>