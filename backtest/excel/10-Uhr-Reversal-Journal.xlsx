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leitung" sheetId="1" state="visible" r:id="rId3"/>
    <sheet name="Journal" sheetId="2" state="visible" r:id="rId4"/>
    <sheet name="Übersicht" sheetId="3" state="visible" r:id="rId5"/>
    <sheet name="Einstellungen" sheetId="4" state="visible" r:id="rId6"/>
  </sheets>
  <definedNames>
    <definedName function="false" hidden="false" name="Kommission" vbProcedure="false">Einstellungen!$B$8</definedName>
    <definedName function="false" hidden="false" name="Kontrakte" vbProcedure="false">Einstellungen!$B$7</definedName>
    <definedName function="false" hidden="false" name="MinDrive" vbProcedure="false">Einstellungen!$B$4</definedName>
    <definedName function="false" hidden="false" name="Punktwert" vbProcedure="false">Einstellungen!$B$6</definedName>
    <definedName function="false" hidden="false" name="Slippage" vbProcedure="false">Einstellungen!$B$9</definedName>
    <definedName function="false" hidden="false" name="ZielR" vbProcedure="false">Einstellungen!$B$5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Eröffnungskurs der 09:30-Kerze</t>
        </r>
      </text>
    </comment>
    <comment ref="C4" authorId="0">
      <text>
        <r>
          <rPr>
            <sz val="10"/>
            <rFont val="Arial"/>
            <family val="2"/>
          </rPr>
          <t xml:space="preserve">Schlusskurs der letzten Kerze vor 10:00</t>
        </r>
      </text>
    </comment>
    <comment ref="D4" authorId="0">
      <text>
        <r>
          <rPr>
            <sz val="10"/>
            <rFont val="Arial"/>
            <family val="2"/>
          </rPr>
          <t xml:space="preserve">Höchster Kurs seit 09:30 bis vor die Einstiegskerze (= Stop bei Short)</t>
        </r>
      </text>
    </comment>
    <comment ref="E4" authorId="0">
      <text>
        <r>
          <rPr>
            <sz val="10"/>
            <rFont val="Arial"/>
            <family val="2"/>
          </rPr>
          <t xml:space="preserve">Tiefster Kurs seit 09:30 bis vor die Einstiegskerze (= Stop bei Long)</t>
        </r>
      </text>
    </comment>
    <comment ref="F4" authorId="0">
      <text>
        <r>
          <rPr>
            <sz val="10"/>
            <rFont val="Arial"/>
            <family val="2"/>
          </rPr>
          <t xml:space="preserve">Hoch der 5-Minuten-Kerze von 10:00</t>
        </r>
      </text>
    </comment>
    <comment ref="G4" authorId="0">
      <text>
        <r>
          <rPr>
            <sz val="10"/>
            <rFont val="Arial"/>
            <family val="2"/>
          </rPr>
          <t xml:space="preserve">Tief der 5-Minuten-Kerze von 10:00</t>
        </r>
      </text>
    </comment>
    <comment ref="H4" authorId="0">
      <text>
        <r>
          <rPr>
            <sz val="10"/>
            <rFont val="Arial"/>
            <family val="2"/>
          </rPr>
          <t xml:space="preserve">Schließt die 10:05- oder 10:10-Kerze gegen die Morgenrichtung außerhalb der 10:00-Kerze: Open der nächsten Kerze eintragen. Kein Ausbruch bis 10:15 = leer lassen.</t>
        </r>
      </text>
    </comment>
    <comment ref="I4" authorId="0">
      <text>
        <r>
          <rPr>
            <sz val="10"/>
            <rFont val="Arial"/>
            <family val="2"/>
          </rPr>
          <t xml:space="preserve">Was wurde zuerst erreicht? Ziel, Stop oder keins von beiden bis 11:30 (= Zeit).</t>
        </r>
      </text>
    </comment>
    <comment ref="J4" authorId="0">
      <text>
        <r>
          <rPr>
            <sz val="10"/>
            <rFont val="Arial"/>
            <family val="2"/>
          </rPr>
          <t xml:space="preserve">Nur bei Ergebnis = Zeit: Schlusskurs der 11:25-Kerze</t>
        </r>
      </text>
    </comment>
    <comment ref="K4" authorId="0">
      <text>
        <r>
          <rPr>
            <sz val="10"/>
            <rFont val="Arial"/>
            <family val="2"/>
          </rPr>
          <t xml:space="preserve">z. B. News um 10:00 (ISM, JOLTS ...), Fed-Rede</t>
        </r>
      </text>
    </comment>
  </commentList>
</comments>
</file>

<file path=xl/sharedStrings.xml><?xml version="1.0" encoding="utf-8"?>
<sst xmlns="http://schemas.openxmlformats.org/spreadsheetml/2006/main" count="112" uniqueCount="97">
  <si>
    <t xml:space="preserve">Nasdaq 10:00-Reversal: Trading-Journal (5-Minuten-Chart)</t>
  </si>
  <si>
    <t xml:space="preserve">Die Strategie</t>
  </si>
  <si>
    <t xml:space="preserve">1. Morgen-Bewegung: Wie weit läuft der Nasdaq (NQ/MNQ oder QQQ) von 09:30 bis 10:00 New Yorker Zeit (in Deutschland meist 15:30 bis 16:00)?</t>
  </si>
  <si>
    <t xml:space="preserve">2. Ist die Bewegung groß genug (Einstellungen: Mindestbewegung), wird um 10:00 dagegen gehandelt: nach einem Anstieg Short, nach einem Fall Long.</t>
  </si>
  <si>
    <t xml:space="preserve">3. Einstieg: Schließt die 10:05- oder 10:10-Kerze unter dem Tief (bei Short) bzw. über dem Hoch (bei Long) der 10:00-Kerze, wird zum Open der nächsten Kerze eingestiegen.</t>
  </si>
  <si>
    <t xml:space="preserve">4. Stop: Tageshoch (Short) bzw. Tagestief (Long) bis zum Einstieg. Ziel: 2 × Risiko. Spätestens um 11:30 wird geschlossen.</t>
  </si>
  <si>
    <t xml:space="preserve">So füllst du das Journal aus (Blatt „Journal“)</t>
  </si>
  <si>
    <t xml:space="preserve">• Nur die gelben Zellen mit blauer Schrift ausfüllen. Graue Spalten rechnet Excel selbst.</t>
  </si>
  <si>
    <t xml:space="preserve">• Pro Handelstag eine Zeile. Die Daten des letzten Monats sind schon eingetragen; weitere Tage einfach unten anhängen.</t>
  </si>
  <si>
    <t xml:space="preserve">• Kurse aus dem 5-Minuten-Chart ablesen (TradingView, Broker). Alle Kurse vom selben Instrument nehmen.</t>
  </si>
  <si>
    <t xml:space="preserve">• Gibt es keinen Ausbruch bis 10:15, bleibt „Einstiegskurs“ leer. Der Tag zählt dann als „kein Signal“.</t>
  </si>
  <si>
    <t xml:space="preserve">• Nach dem Eintragen des Einstiegs zeigt Excel Stop und Ziel. Im Chart nachsehen, was zuerst erreicht wurde, und bei „Ergebnis“ Ziel, Stop oder Zeit wählen. Bei Zeit den Kurs um 11:30 eintragen.</t>
  </si>
  <si>
    <t xml:space="preserve">• Die Spalte „Hinweis“ meldet fehlende Angaben und Einstiege, die nicht zur Regel passen.</t>
  </si>
  <si>
    <t xml:space="preserve">• Kontraktgröße, Gebühren und Regeln lassen sich im Blatt „Einstellungen“ ändern. Die Übersicht passt sich an.</t>
  </si>
  <si>
    <t xml:space="preserve">Beispiel (erfundene Zahlen, nur zur Veranschaulichung)</t>
  </si>
  <si>
    <t xml:space="preserve">Open 09:30 = 20.000 · Close 09:55 = 20.090 (+0,45 % → Short) · Tageshoch bis Einstieg = 20.110 · Tagestief = 19.995 · 10:00-Kerze Hoch 20.110 / Tief 20.070</t>
  </si>
  <si>
    <t xml:space="preserve">Die 10:05-Kerze schließt bei 20.064, also unter 20.070 → Einstieg zum Open der 10:10-Kerze: 20.062. Excel zeigt: Stop 20.110, Risiko 48 Punkte, Ziel 19.966.</t>
  </si>
  <si>
    <t xml:space="preserve">Der Kurs fällt bis 10:40 auf 19.966 → Ergebnis „Ziel“ → ca. +95,5 Punkte netto → mit NQ ca. +1.906 $ (+1,99 R).</t>
  </si>
  <si>
    <t xml:space="preserve">Wichtig</t>
  </si>
  <si>
    <t xml:space="preserve">Kein Anlageratschlag. Ein Monat (ca. 20 Handelstage) zeigt, wie es zuletzt lief, beweist aber keinen dauerhaften Vorteil. Für eine belastbare Aussage braucht es mehrere Jahre Daten (siehe backtest/README.md).</t>
  </si>
  <si>
    <t xml:space="preserve">Journal: eine Zeile pro Handelstag</t>
  </si>
  <si>
    <t xml:space="preserve">Gelb = selbst eintragen (aus dem 5-Minuten-Chart). Grau = rechnet Excel. Zeiten = New York (ET).</t>
  </si>
  <si>
    <t xml:space="preserve">EINGABE</t>
  </si>
  <si>
    <t xml:space="preserve">BERECHNUNG</t>
  </si>
  <si>
    <t xml:space="preserve">Datum</t>
  </si>
  <si>
    <t xml:space="preserve">Open 09:30</t>
  </si>
  <si>
    <t xml:space="preserve">Close 09:55-Kerze</t>
  </si>
  <si>
    <t xml:space="preserve">Tageshoch bis Einstieg</t>
  </si>
  <si>
    <t xml:space="preserve">Tagestief bis Einstieg</t>
  </si>
  <si>
    <t xml:space="preserve">Hoch 10:00-Kerze</t>
  </si>
  <si>
    <t xml:space="preserve">Tief 10:00-Kerze</t>
  </si>
  <si>
    <t xml:space="preserve">Einstiegskurs</t>
  </si>
  <si>
    <t xml:space="preserve">Ergebnis</t>
  </si>
  <si>
    <t xml:space="preserve">Kurs 11:30</t>
  </si>
  <si>
    <t xml:space="preserve">Notiz</t>
  </si>
  <si>
    <t xml:space="preserve">Morgen-Bewegung</t>
  </si>
  <si>
    <t xml:space="preserve">Richtung</t>
  </si>
  <si>
    <t xml:space="preserve">Status</t>
  </si>
  <si>
    <t xml:space="preserve">Stop</t>
  </si>
  <si>
    <t xml:space="preserve">Risiko (Pkt)</t>
  </si>
  <si>
    <t xml:space="preserve">Ziel</t>
  </si>
  <si>
    <t xml:space="preserve">Exitkurs</t>
  </si>
  <si>
    <t xml:space="preserve">Punkte netto</t>
  </si>
  <si>
    <t xml:space="preserve">R</t>
  </si>
  <si>
    <t xml:space="preserve">Gewinn/Verlust</t>
  </si>
  <si>
    <t xml:space="preserve">Kumuliert</t>
  </si>
  <si>
    <t xml:space="preserve">Höchststand</t>
  </si>
  <si>
    <t xml:space="preserve">Drawdown</t>
  </si>
  <si>
    <t xml:space="preserve">Hinweis</t>
  </si>
  <si>
    <t xml:space="preserve">Wochentag</t>
  </si>
  <si>
    <t xml:space="preserve">Übersicht</t>
  </si>
  <si>
    <t xml:space="preserve">Alles automatisch aus dem Journal berechnet.</t>
  </si>
  <si>
    <t xml:space="preserve">Zeitraum von</t>
  </si>
  <si>
    <t xml:space="preserve">Zeitraum bis</t>
  </si>
  <si>
    <t xml:space="preserve">Erfasste Tage</t>
  </si>
  <si>
    <t xml:space="preserve">Tage mit Trade</t>
  </si>
  <si>
    <t xml:space="preserve">davon abgeschlossen</t>
  </si>
  <si>
    <t xml:space="preserve">Gewinner</t>
  </si>
  <si>
    <t xml:space="preserve">Verlierer</t>
  </si>
  <si>
    <t xml:space="preserve">Trefferquote</t>
  </si>
  <si>
    <t xml:space="preserve">Gewinn/Verlust gesamt</t>
  </si>
  <si>
    <t xml:space="preserve">Ø pro Trade</t>
  </si>
  <si>
    <t xml:space="preserve">Ø R pro Trade</t>
  </si>
  <si>
    <t xml:space="preserve">Profit Factor</t>
  </si>
  <si>
    <t xml:space="preserve">Größter Gewinn</t>
  </si>
  <si>
    <t xml:space="preserve">Größter Verlust</t>
  </si>
  <si>
    <t xml:space="preserve">Max. Drawdown</t>
  </si>
  <si>
    <t xml:space="preserve">Exit am Ziel</t>
  </si>
  <si>
    <t xml:space="preserve">Exit am Stop</t>
  </si>
  <si>
    <t xml:space="preserve">Exit um 11:30</t>
  </si>
  <si>
    <t xml:space="preserve">Nach Monat</t>
  </si>
  <si>
    <t xml:space="preserve">Monat</t>
  </si>
  <si>
    <t xml:space="preserve">Trades</t>
  </si>
  <si>
    <t xml:space="preserve">Ø R</t>
  </si>
  <si>
    <t xml:space="preserve">Nach Wochentag</t>
  </si>
  <si>
    <t xml:space="preserve">Montag</t>
  </si>
  <si>
    <t xml:space="preserve">Dienstag</t>
  </si>
  <si>
    <t xml:space="preserve">Mittwoch</t>
  </si>
  <si>
    <t xml:space="preserve">Donnerstag</t>
  </si>
  <si>
    <t xml:space="preserve">Freitag</t>
  </si>
  <si>
    <t xml:space="preserve">Nach Richtung</t>
  </si>
  <si>
    <t xml:space="preserve">Long</t>
  </si>
  <si>
    <t xml:space="preserve">Short</t>
  </si>
  <si>
    <t xml:space="preserve">Einstellungen</t>
  </si>
  <si>
    <t xml:space="preserve">Gelbe Zellen mit blauer Schrift dürfen geändert werden.</t>
  </si>
  <si>
    <t xml:space="preserve">Mindestbewegung 09:30–10:00</t>
  </si>
  <si>
    <t xml:space="preserve">Kleinere Bewegungen werden nicht gehandelt.</t>
  </si>
  <si>
    <t xml:space="preserve">Ziel in R (Vielfaches des Risikos)</t>
  </si>
  <si>
    <t xml:space="preserve">2 = Ziel liegt doppelt so weit weg wie der Stop.</t>
  </si>
  <si>
    <t xml:space="preserve">$ pro Punkt und Kontrakt</t>
  </si>
  <si>
    <t xml:space="preserve">NQ = 20, MNQ = 2, QQQ-Aktie = 1 (dann Kontrakte = Stückzahl).</t>
  </si>
  <si>
    <t xml:space="preserve">Kontrakte / Stück</t>
  </si>
  <si>
    <t xml:space="preserve">Gebühr pro Kontrakt (Hin + Rück) in $</t>
  </si>
  <si>
    <t xml:space="preserve">Je nach Broker; MNQ etwa 1,50 $.</t>
  </si>
  <si>
    <t xml:space="preserve">Slippage pro Seite in Punkten</t>
  </si>
  <si>
    <t xml:space="preserve">1 Tick NQ = 0,25 Punkte; wird bei Ein- und Ausstieg abgezogen.</t>
  </si>
  <si>
    <t xml:space="preserve">Standardwerte entsprechen dem Python-Backtest (backtest/strategy.py): 0,2 % Mindestbewegung, 2R-Ziel, Exit 11:30.</t>
  </si>
</sst>
</file>

<file path=xl/styles.xml><?xml version="1.0" encoding="utf-8"?>
<styleSheet xmlns="http://schemas.openxmlformats.org/spreadsheetml/2006/main">
  <numFmts count="12">
    <numFmt numFmtId="164" formatCode="General"/>
    <numFmt numFmtId="165" formatCode="dd\.mm\.yyyy"/>
    <numFmt numFmtId="166" formatCode="#,##0.00"/>
    <numFmt numFmtId="167" formatCode="0.00%"/>
    <numFmt numFmtId="168" formatCode="0.00\R;\-0.00\R;\-"/>
    <numFmt numFmtId="169" formatCode="#,##0&quot; $&quot;;\-#,##0&quot; $&quot;;\-"/>
    <numFmt numFmtId="170" formatCode="0"/>
    <numFmt numFmtId="171" formatCode="0.0%"/>
    <numFmt numFmtId="172" formatCode="0.00"/>
    <numFmt numFmtId="173" formatCode="mmmm\ yyyy"/>
    <numFmt numFmtId="174" formatCode="@"/>
    <numFmt numFmtId="175"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i val="true"/>
      <sz val="11"/>
      <color rgb="FF808080"/>
      <name val="Arial"/>
      <family val="0"/>
      <charset val="1"/>
    </font>
    <font>
      <b val="true"/>
      <sz val="11"/>
      <color rgb="FFFFFFFF"/>
      <name val="Arial"/>
      <family val="0"/>
      <charset val="1"/>
    </font>
    <font>
      <sz val="11"/>
      <color rgb="FF0000FF"/>
      <name val="Arial"/>
      <family val="0"/>
      <charset val="1"/>
    </font>
    <font>
      <sz val="10"/>
      <name val="Arial"/>
      <family val="2"/>
    </font>
    <font>
      <b val="true"/>
      <sz val="12"/>
      <name val="Arial"/>
      <family val="0"/>
      <charset val="1"/>
    </font>
    <font>
      <sz val="11"/>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7" fontId="5" fillId="4"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68" fontId="5" fillId="4" borderId="1" xfId="0" applyFont="true" applyBorder="true" applyAlignment="false" applyProtection="false">
      <alignment horizontal="general" vertical="bottom" textRotation="0" wrapText="false" indent="0" shrinkToFit="false"/>
      <protection locked="true" hidden="false"/>
    </xf>
    <xf numFmtId="169" fontId="5" fillId="4" borderId="1" xfId="0" applyFont="true" applyBorder="true" applyAlignment="false" applyProtection="false">
      <alignment horizontal="general" vertical="bottom" textRotation="0" wrapText="false" indent="0" shrinkToFit="false"/>
      <protection locked="true" hidden="false"/>
    </xf>
    <xf numFmtId="170" fontId="5"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5" fontId="9" fillId="3" borderId="0" xfId="0" applyFont="true" applyBorder="false" applyAlignment="false" applyProtection="false">
      <alignment horizontal="general" vertical="bottom" textRotation="0" wrapText="false" indent="0" shrinkToFit="false"/>
      <protection locked="true" hidden="false"/>
    </xf>
    <xf numFmtId="169" fontId="9" fillId="3" borderId="0" xfId="0" applyFont="true" applyBorder="false" applyAlignment="false" applyProtection="false">
      <alignment horizontal="general" vertical="bottom" textRotation="0" wrapText="false" indent="0" shrinkToFit="false"/>
      <protection locked="true" hidden="false"/>
    </xf>
    <xf numFmtId="170" fontId="9" fillId="3"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color rgb="FF00703C"/>
      </font>
    </dxf>
    <dxf>
      <font>
        <name val="Arial"/>
        <charset val="1"/>
        <family val="0"/>
        <color rgb="FFC00000"/>
      </font>
    </dxf>
  </dxfs>
  <colors>
    <indexedColors>
      <rgbColor rgb="FF000000"/>
      <rgbColor rgb="FFFFFFFF"/>
      <rgbColor rgb="FFC00000"/>
      <rgbColor rgb="FF00FF00"/>
      <rgbColor rgb="FF0000FF"/>
      <rgbColor rgb="FFFFFF00"/>
      <rgbColor rgb="FFFF00FF"/>
      <rgbColor rgb="FF00FFFF"/>
      <rgbColor rgb="FF800000"/>
      <rgbColor rgb="FF00703C"/>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s>
  <sheetData>
    <row r="1" customFormat="false" ht="17.35" hidden="false" customHeight="false" outlineLevel="0" collapsed="false">
      <c r="B1" s="1" t="s">
        <v>0</v>
      </c>
    </row>
    <row r="2" customFormat="false" ht="15" hidden="false" customHeight="false" outlineLevel="0" collapsed="false">
      <c r="B2" s="2"/>
    </row>
    <row r="3" customFormat="false" ht="15" hidden="false" customHeight="false" outlineLevel="0" collapsed="false">
      <c r="B3" s="3" t="s">
        <v>1</v>
      </c>
    </row>
    <row r="4" customFormat="false" ht="26.85" hidden="false" customHeight="false" outlineLevel="0" collapsed="false">
      <c r="B4" s="2" t="s">
        <v>2</v>
      </c>
    </row>
    <row r="5" customFormat="false" ht="26.85" hidden="false" customHeight="false" outlineLevel="0" collapsed="false">
      <c r="B5" s="2" t="s">
        <v>3</v>
      </c>
    </row>
    <row r="6" customFormat="false" ht="26.85" hidden="false" customHeight="false" outlineLevel="0" collapsed="false">
      <c r="B6" s="2" t="s">
        <v>4</v>
      </c>
    </row>
    <row r="7" customFormat="false" ht="26.85" hidden="false" customHeight="false" outlineLevel="0" collapsed="false">
      <c r="B7" s="2" t="s">
        <v>5</v>
      </c>
    </row>
    <row r="8" customFormat="false" ht="15" hidden="false" customHeight="false" outlineLevel="0" collapsed="false">
      <c r="B8" s="2"/>
    </row>
    <row r="9" customFormat="false" ht="15" hidden="false" customHeight="false" outlineLevel="0" collapsed="false">
      <c r="B9" s="3" t="s">
        <v>6</v>
      </c>
    </row>
    <row r="10" customFormat="false" ht="15" hidden="false" customHeight="false" outlineLevel="0" collapsed="false">
      <c r="B10" s="2" t="s">
        <v>7</v>
      </c>
    </row>
    <row r="11" customFormat="false" ht="26.85" hidden="false" customHeight="false" outlineLevel="0" collapsed="false">
      <c r="B11" s="2" t="s">
        <v>8</v>
      </c>
    </row>
    <row r="12" customFormat="false" ht="15" hidden="false" customHeight="false" outlineLevel="0" collapsed="false">
      <c r="B12" s="2" t="s">
        <v>9</v>
      </c>
    </row>
    <row r="13" customFormat="false" ht="15" hidden="false" customHeight="false" outlineLevel="0" collapsed="false">
      <c r="B13" s="2" t="s">
        <v>10</v>
      </c>
    </row>
    <row r="14" customFormat="false" ht="26.85" hidden="false" customHeight="false" outlineLevel="0" collapsed="false">
      <c r="B14" s="2" t="s">
        <v>11</v>
      </c>
    </row>
    <row r="15" customFormat="false" ht="15" hidden="false" customHeight="false" outlineLevel="0" collapsed="false">
      <c r="B15" s="2" t="s">
        <v>12</v>
      </c>
    </row>
    <row r="16" customFormat="false" ht="15" hidden="false" customHeight="false" outlineLevel="0" collapsed="false">
      <c r="B16" s="2" t="s">
        <v>13</v>
      </c>
    </row>
    <row r="17" customFormat="false" ht="15" hidden="false" customHeight="false" outlineLevel="0" collapsed="false">
      <c r="B17" s="2"/>
    </row>
    <row r="18" customFormat="false" ht="15" hidden="false" customHeight="false" outlineLevel="0" collapsed="false">
      <c r="B18" s="3" t="s">
        <v>14</v>
      </c>
    </row>
    <row r="19" customFormat="false" ht="26.85" hidden="false" customHeight="false" outlineLevel="0" collapsed="false">
      <c r="B19" s="2" t="s">
        <v>15</v>
      </c>
    </row>
    <row r="20" customFormat="false" ht="26.85" hidden="false" customHeight="false" outlineLevel="0" collapsed="false">
      <c r="B20" s="2" t="s">
        <v>16</v>
      </c>
    </row>
    <row r="21" customFormat="false" ht="15" hidden="false" customHeight="false" outlineLevel="0" collapsed="false">
      <c r="B21" s="2" t="s">
        <v>17</v>
      </c>
    </row>
    <row r="22" customFormat="false" ht="15" hidden="false" customHeight="false" outlineLevel="0" collapsed="false">
      <c r="B22" s="2"/>
    </row>
    <row r="23" customFormat="false" ht="15" hidden="false" customHeight="false" outlineLevel="0" collapsed="false">
      <c r="B23" s="3" t="s">
        <v>18</v>
      </c>
    </row>
    <row r="24" customFormat="false" ht="26.85" hidden="false" customHeight="false" outlineLevel="0" collapsed="false">
      <c r="B24"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 min="1" style="0" width="11"/>
    <col collapsed="false" customWidth="true" hidden="false" outlineLevel="0" max="5" min="4" style="0" width="12"/>
    <col collapsed="false" customWidth="true" hidden="false" outlineLevel="0" max="8" min="6" style="0" width="11"/>
    <col collapsed="false" customWidth="true" hidden="false" outlineLevel="0" max="9" min="9" style="0" width="9"/>
    <col collapsed="false" customWidth="true" hidden="false" outlineLevel="0" max="10" min="10" style="0" width="10"/>
    <col collapsed="false" customWidth="true" hidden="false" outlineLevel="0" max="11" min="11" style="0" width="18"/>
    <col collapsed="false" customWidth="true" hidden="false" outlineLevel="0" max="14" min="12" style="0" width="10"/>
    <col collapsed="false" customWidth="true" hidden="false" outlineLevel="0" max="15" min="15" style="0" width="11"/>
    <col collapsed="false" customWidth="true" hidden="false" outlineLevel="0" max="16" min="16" style="0" width="9"/>
    <col collapsed="false" customWidth="true" hidden="false" outlineLevel="0" max="18" min="17" style="0" width="11"/>
    <col collapsed="false" customWidth="true" hidden="false" outlineLevel="0" max="19" min="19" style="0" width="9"/>
    <col collapsed="false" customWidth="true" hidden="false" outlineLevel="0" max="20" min="20" style="0" width="8"/>
    <col collapsed="false" customWidth="true" hidden="false" outlineLevel="0" max="24" min="21" style="0" width="11"/>
    <col collapsed="false" customWidth="true" hidden="false" outlineLevel="0" max="25" min="25" style="0" width="16"/>
    <col collapsed="false" customWidth="true" hidden="true" outlineLevel="0" max="26" min="26" style="0" width="6"/>
  </cols>
  <sheetData>
    <row r="1" customFormat="false" ht="17.35" hidden="false" customHeight="false" outlineLevel="0" collapsed="false">
      <c r="A1" s="4" t="s">
        <v>20</v>
      </c>
    </row>
    <row r="2" customFormat="false" ht="15" hidden="false" customHeight="false" outlineLevel="0" collapsed="false">
      <c r="A2" s="5" t="s">
        <v>21</v>
      </c>
    </row>
    <row r="3" customFormat="false" ht="15" hidden="false" customHeight="false" outlineLevel="0" collapsed="false">
      <c r="A3" s="6" t="s">
        <v>22</v>
      </c>
      <c r="L3" s="6" t="s">
        <v>23</v>
      </c>
    </row>
    <row r="4" customFormat="false" ht="31.5" hidden="false" customHeight="true" outlineLevel="0" collapsed="false">
      <c r="A4" s="7" t="s">
        <v>24</v>
      </c>
      <c r="B4" s="7" t="s">
        <v>25</v>
      </c>
      <c r="C4" s="7" t="s">
        <v>26</v>
      </c>
      <c r="D4" s="7" t="s">
        <v>27</v>
      </c>
      <c r="E4" s="7" t="s">
        <v>28</v>
      </c>
      <c r="F4" s="7" t="s">
        <v>29</v>
      </c>
      <c r="G4" s="7" t="s">
        <v>30</v>
      </c>
      <c r="H4" s="7" t="s">
        <v>31</v>
      </c>
      <c r="I4" s="7" t="s">
        <v>32</v>
      </c>
      <c r="J4" s="7" t="s">
        <v>33</v>
      </c>
      <c r="K4" s="7" t="s">
        <v>34</v>
      </c>
      <c r="L4" s="7" t="s">
        <v>35</v>
      </c>
      <c r="M4" s="7" t="s">
        <v>36</v>
      </c>
      <c r="N4" s="7" t="s">
        <v>37</v>
      </c>
      <c r="O4" s="7" t="s">
        <v>38</v>
      </c>
      <c r="P4" s="7" t="s">
        <v>39</v>
      </c>
      <c r="Q4" s="7" t="s">
        <v>40</v>
      </c>
      <c r="R4" s="7" t="s">
        <v>41</v>
      </c>
      <c r="S4" s="7" t="s">
        <v>42</v>
      </c>
      <c r="T4" s="7" t="s">
        <v>43</v>
      </c>
      <c r="U4" s="7" t="s">
        <v>44</v>
      </c>
      <c r="V4" s="7" t="s">
        <v>45</v>
      </c>
      <c r="W4" s="7" t="s">
        <v>46</v>
      </c>
      <c r="X4" s="7" t="s">
        <v>47</v>
      </c>
      <c r="Y4" s="7" t="s">
        <v>48</v>
      </c>
      <c r="Z4" s="7" t="s">
        <v>49</v>
      </c>
    </row>
    <row r="5" customFormat="false" ht="15" hidden="false" customHeight="false" outlineLevel="0" collapsed="false">
      <c r="A5" s="8" t="n">
        <v>46287</v>
      </c>
      <c r="B5" s="9"/>
      <c r="C5" s="9"/>
      <c r="D5" s="9"/>
      <c r="E5" s="9"/>
      <c r="F5" s="9"/>
      <c r="G5" s="9"/>
      <c r="H5" s="9"/>
      <c r="I5" s="10"/>
      <c r="J5" s="9"/>
      <c r="K5" s="10"/>
      <c r="L5" s="11" t="str">
        <f aca="false">IF(OR(B5="",C5=""),"",(C5-B5)/B5)</f>
        <v/>
      </c>
      <c r="M5" s="12" t="str">
        <f aca="false">IF(L5="","",IF(ABS(L5)&lt;MinDrive,"kein Trade",IF(L5&gt;0,"Short","Long")))</f>
        <v/>
      </c>
      <c r="N5" s="12" t="str">
        <f aca="false">IF(OR(M5="",M5="kein Trade"),"",IF(H5="","kein Signal","Trade"))</f>
        <v/>
      </c>
      <c r="O5" s="13" t="str">
        <f aca="false">IF(N5&lt;&gt;"Trade","",IF(M5="Short",D5,E5))</f>
        <v/>
      </c>
      <c r="P5" s="13" t="str">
        <f aca="false">IF(N5&lt;&gt;"Trade","",ABS(H5-O5))</f>
        <v/>
      </c>
      <c r="Q5" s="13" t="str">
        <f aca="false">IF(N5&lt;&gt;"Trade","",H5+IF(M5="Long",1,-1)*ZielR*P5)</f>
        <v/>
      </c>
      <c r="R5" s="13" t="str">
        <f aca="false">IF(OR(N5&lt;&gt;"Trade",I5=""),"",IF(I5="Ziel",Q5,IF(I5="Stop",O5,IF(J5="","",J5))))</f>
        <v/>
      </c>
      <c r="S5" s="13" t="str">
        <f aca="false">IF(R5="","",(R5-H5)*IF(M5="Long",1,-1)-2*Slippage)</f>
        <v/>
      </c>
      <c r="T5" s="14" t="str">
        <f aca="false">IF(OR(S5="",P5=0),"",S5/P5)</f>
        <v/>
      </c>
      <c r="U5" s="15" t="str">
        <f aca="false">IF(S5="","",S5*Punktwert*Kontrakte-Kommission*Kontrakte)</f>
        <v/>
      </c>
      <c r="V5" s="15" t="str">
        <f aca="false">IF(U5="","",SUM($U$5:U5))</f>
        <v/>
      </c>
      <c r="W5" s="15" t="str">
        <f aca="false">IF(V5="","",MAX(0,MAX($V$5:V5)))</f>
        <v/>
      </c>
      <c r="X5" s="15" t="str">
        <f aca="false">IF(V5="","",V5-W5)</f>
        <v/>
      </c>
      <c r="Y5" s="12" t="str">
        <f aca="false">IF(N5&lt;&gt;"Trade","",IF(P5=0,"Stop = Einstieg?",IF(I5="","Ergebnis eintragen",IF(AND(I5="Zeit",J5=""),"Kurs 11:30 fehlt",IF(OR(AND(M5="Short",H5&gt;F5),AND(M5="Long",H5&lt;G5)),"Einstieg prüfen","ok")))))</f>
        <v/>
      </c>
      <c r="Z5" s="16" t="n">
        <f aca="false">IF(A5="","",WEEKDAY(A5,2))</f>
        <v>2</v>
      </c>
    </row>
    <row r="6" customFormat="false" ht="15" hidden="false" customHeight="false" outlineLevel="0" collapsed="false">
      <c r="A6" s="8" t="n">
        <v>46288</v>
      </c>
      <c r="B6" s="9"/>
      <c r="C6" s="9"/>
      <c r="D6" s="9"/>
      <c r="E6" s="9"/>
      <c r="F6" s="9"/>
      <c r="G6" s="9"/>
      <c r="H6" s="9"/>
      <c r="I6" s="10"/>
      <c r="J6" s="9"/>
      <c r="K6" s="10"/>
      <c r="L6" s="11" t="str">
        <f aca="false">IF(OR(B6="",C6=""),"",(C6-B6)/B6)</f>
        <v/>
      </c>
      <c r="M6" s="12" t="str">
        <f aca="false">IF(L6="","",IF(ABS(L6)&lt;MinDrive,"kein Trade",IF(L6&gt;0,"Short","Long")))</f>
        <v/>
      </c>
      <c r="N6" s="12" t="str">
        <f aca="false">IF(OR(M6="",M6="kein Trade"),"",IF(H6="","kein Signal","Trade"))</f>
        <v/>
      </c>
      <c r="O6" s="13" t="str">
        <f aca="false">IF(N6&lt;&gt;"Trade","",IF(M6="Short",D6,E6))</f>
        <v/>
      </c>
      <c r="P6" s="13" t="str">
        <f aca="false">IF(N6&lt;&gt;"Trade","",ABS(H6-O6))</f>
        <v/>
      </c>
      <c r="Q6" s="13" t="str">
        <f aca="false">IF(N6&lt;&gt;"Trade","",H6+IF(M6="Long",1,-1)*ZielR*P6)</f>
        <v/>
      </c>
      <c r="R6" s="13" t="str">
        <f aca="false">IF(OR(N6&lt;&gt;"Trade",I6=""),"",IF(I6="Ziel",Q6,IF(I6="Stop",O6,IF(J6="","",J6))))</f>
        <v/>
      </c>
      <c r="S6" s="13" t="str">
        <f aca="false">IF(R6="","",(R6-H6)*IF(M6="Long",1,-1)-2*Slippage)</f>
        <v/>
      </c>
      <c r="T6" s="14" t="str">
        <f aca="false">IF(OR(S6="",P6=0),"",S6/P6)</f>
        <v/>
      </c>
      <c r="U6" s="15" t="str">
        <f aca="false">IF(S6="","",S6*Punktwert*Kontrakte-Kommission*Kontrakte)</f>
        <v/>
      </c>
      <c r="V6" s="15" t="str">
        <f aca="false">IF(U6="","",SUM($U$5:U6))</f>
        <v/>
      </c>
      <c r="W6" s="15" t="str">
        <f aca="false">IF(V6="","",MAX(0,MAX($V$5:V6)))</f>
        <v/>
      </c>
      <c r="X6" s="15" t="str">
        <f aca="false">IF(V6="","",V6-W6)</f>
        <v/>
      </c>
      <c r="Y6" s="12" t="str">
        <f aca="false">IF(N6&lt;&gt;"Trade","",IF(P6=0,"Stop = Einstieg?",IF(I6="","Ergebnis eintragen",IF(AND(I6="Zeit",J6=""),"Kurs 11:30 fehlt",IF(OR(AND(M6="Short",H6&gt;F6),AND(M6="Long",H6&lt;G6)),"Einstieg prüfen","ok")))))</f>
        <v/>
      </c>
      <c r="Z6" s="16" t="n">
        <f aca="false">IF(A6="","",WEEKDAY(A6,2))</f>
        <v>3</v>
      </c>
    </row>
    <row r="7" customFormat="false" ht="15" hidden="false" customHeight="false" outlineLevel="0" collapsed="false">
      <c r="A7" s="8" t="n">
        <v>46289</v>
      </c>
      <c r="B7" s="9"/>
      <c r="C7" s="9"/>
      <c r="D7" s="9"/>
      <c r="E7" s="9"/>
      <c r="F7" s="9"/>
      <c r="G7" s="9"/>
      <c r="H7" s="9"/>
      <c r="I7" s="10"/>
      <c r="J7" s="9"/>
      <c r="K7" s="10"/>
      <c r="L7" s="11" t="str">
        <f aca="false">IF(OR(B7="",C7=""),"",(C7-B7)/B7)</f>
        <v/>
      </c>
      <c r="M7" s="12" t="str">
        <f aca="false">IF(L7="","",IF(ABS(L7)&lt;MinDrive,"kein Trade",IF(L7&gt;0,"Short","Long")))</f>
        <v/>
      </c>
      <c r="N7" s="12" t="str">
        <f aca="false">IF(OR(M7="",M7="kein Trade"),"",IF(H7="","kein Signal","Trade"))</f>
        <v/>
      </c>
      <c r="O7" s="13" t="str">
        <f aca="false">IF(N7&lt;&gt;"Trade","",IF(M7="Short",D7,E7))</f>
        <v/>
      </c>
      <c r="P7" s="13" t="str">
        <f aca="false">IF(N7&lt;&gt;"Trade","",ABS(H7-O7))</f>
        <v/>
      </c>
      <c r="Q7" s="13" t="str">
        <f aca="false">IF(N7&lt;&gt;"Trade","",H7+IF(M7="Long",1,-1)*ZielR*P7)</f>
        <v/>
      </c>
      <c r="R7" s="13" t="str">
        <f aca="false">IF(OR(N7&lt;&gt;"Trade",I7=""),"",IF(I7="Ziel",Q7,IF(I7="Stop",O7,IF(J7="","",J7))))</f>
        <v/>
      </c>
      <c r="S7" s="13" t="str">
        <f aca="false">IF(R7="","",(R7-H7)*IF(M7="Long",1,-1)-2*Slippage)</f>
        <v/>
      </c>
      <c r="T7" s="14" t="str">
        <f aca="false">IF(OR(S7="",P7=0),"",S7/P7)</f>
        <v/>
      </c>
      <c r="U7" s="15" t="str">
        <f aca="false">IF(S7="","",S7*Punktwert*Kontrakte-Kommission*Kontrakte)</f>
        <v/>
      </c>
      <c r="V7" s="15" t="str">
        <f aca="false">IF(U7="","",SUM($U$5:U7))</f>
        <v/>
      </c>
      <c r="W7" s="15" t="str">
        <f aca="false">IF(V7="","",MAX(0,MAX($V$5:V7)))</f>
        <v/>
      </c>
      <c r="X7" s="15" t="str">
        <f aca="false">IF(V7="","",V7-W7)</f>
        <v/>
      </c>
      <c r="Y7" s="12" t="str">
        <f aca="false">IF(N7&lt;&gt;"Trade","",IF(P7=0,"Stop = Einstieg?",IF(I7="","Ergebnis eintragen",IF(AND(I7="Zeit",J7=""),"Kurs 11:30 fehlt",IF(OR(AND(M7="Short",H7&gt;F7),AND(M7="Long",H7&lt;G7)),"Einstieg prüfen","ok")))))</f>
        <v/>
      </c>
      <c r="Z7" s="16" t="n">
        <f aca="false">IF(A7="","",WEEKDAY(A7,2))</f>
        <v>4</v>
      </c>
    </row>
    <row r="8" customFormat="false" ht="15" hidden="false" customHeight="false" outlineLevel="0" collapsed="false">
      <c r="A8" s="8" t="n">
        <v>46290</v>
      </c>
      <c r="B8" s="9"/>
      <c r="C8" s="9"/>
      <c r="D8" s="9"/>
      <c r="E8" s="9"/>
      <c r="F8" s="9"/>
      <c r="G8" s="9"/>
      <c r="H8" s="9"/>
      <c r="I8" s="10"/>
      <c r="J8" s="9"/>
      <c r="K8" s="10"/>
      <c r="L8" s="11" t="str">
        <f aca="false">IF(OR(B8="",C8=""),"",(C8-B8)/B8)</f>
        <v/>
      </c>
      <c r="M8" s="12" t="str">
        <f aca="false">IF(L8="","",IF(ABS(L8)&lt;MinDrive,"kein Trade",IF(L8&gt;0,"Short","Long")))</f>
        <v/>
      </c>
      <c r="N8" s="12" t="str">
        <f aca="false">IF(OR(M8="",M8="kein Trade"),"",IF(H8="","kein Signal","Trade"))</f>
        <v/>
      </c>
      <c r="O8" s="13" t="str">
        <f aca="false">IF(N8&lt;&gt;"Trade","",IF(M8="Short",D8,E8))</f>
        <v/>
      </c>
      <c r="P8" s="13" t="str">
        <f aca="false">IF(N8&lt;&gt;"Trade","",ABS(H8-O8))</f>
        <v/>
      </c>
      <c r="Q8" s="13" t="str">
        <f aca="false">IF(N8&lt;&gt;"Trade","",H8+IF(M8="Long",1,-1)*ZielR*P8)</f>
        <v/>
      </c>
      <c r="R8" s="13" t="str">
        <f aca="false">IF(OR(N8&lt;&gt;"Trade",I8=""),"",IF(I8="Ziel",Q8,IF(I8="Stop",O8,IF(J8="","",J8))))</f>
        <v/>
      </c>
      <c r="S8" s="13" t="str">
        <f aca="false">IF(R8="","",(R8-H8)*IF(M8="Long",1,-1)-2*Slippage)</f>
        <v/>
      </c>
      <c r="T8" s="14" t="str">
        <f aca="false">IF(OR(S8="",P8=0),"",S8/P8)</f>
        <v/>
      </c>
      <c r="U8" s="15" t="str">
        <f aca="false">IF(S8="","",S8*Punktwert*Kontrakte-Kommission*Kontrakte)</f>
        <v/>
      </c>
      <c r="V8" s="15" t="str">
        <f aca="false">IF(U8="","",SUM($U$5:U8))</f>
        <v/>
      </c>
      <c r="W8" s="15" t="str">
        <f aca="false">IF(V8="","",MAX(0,MAX($V$5:V8)))</f>
        <v/>
      </c>
      <c r="X8" s="15" t="str">
        <f aca="false">IF(V8="","",V8-W8)</f>
        <v/>
      </c>
      <c r="Y8" s="12" t="str">
        <f aca="false">IF(N8&lt;&gt;"Trade","",IF(P8=0,"Stop = Einstieg?",IF(I8="","Ergebnis eintragen",IF(AND(I8="Zeit",J8=""),"Kurs 11:30 fehlt",IF(OR(AND(M8="Short",H8&gt;F8),AND(M8="Long",H8&lt;G8)),"Einstieg prüfen","ok")))))</f>
        <v/>
      </c>
      <c r="Z8" s="16" t="n">
        <f aca="false">IF(A8="","",WEEKDAY(A8,2))</f>
        <v>5</v>
      </c>
    </row>
    <row r="9" customFormat="false" ht="15" hidden="false" customHeight="false" outlineLevel="0" collapsed="false">
      <c r="A9" s="8" t="n">
        <v>46293</v>
      </c>
      <c r="B9" s="9"/>
      <c r="C9" s="9"/>
      <c r="D9" s="9"/>
      <c r="E9" s="9"/>
      <c r="F9" s="9"/>
      <c r="G9" s="9"/>
      <c r="H9" s="9"/>
      <c r="I9" s="10"/>
      <c r="J9" s="9"/>
      <c r="K9" s="10"/>
      <c r="L9" s="11" t="str">
        <f aca="false">IF(OR(B9="",C9=""),"",(C9-B9)/B9)</f>
        <v/>
      </c>
      <c r="M9" s="12" t="str">
        <f aca="false">IF(L9="","",IF(ABS(L9)&lt;MinDrive,"kein Trade",IF(L9&gt;0,"Short","Long")))</f>
        <v/>
      </c>
      <c r="N9" s="12" t="str">
        <f aca="false">IF(OR(M9="",M9="kein Trade"),"",IF(H9="","kein Signal","Trade"))</f>
        <v/>
      </c>
      <c r="O9" s="13" t="str">
        <f aca="false">IF(N9&lt;&gt;"Trade","",IF(M9="Short",D9,E9))</f>
        <v/>
      </c>
      <c r="P9" s="13" t="str">
        <f aca="false">IF(N9&lt;&gt;"Trade","",ABS(H9-O9))</f>
        <v/>
      </c>
      <c r="Q9" s="13" t="str">
        <f aca="false">IF(N9&lt;&gt;"Trade","",H9+IF(M9="Long",1,-1)*ZielR*P9)</f>
        <v/>
      </c>
      <c r="R9" s="13" t="str">
        <f aca="false">IF(OR(N9&lt;&gt;"Trade",I9=""),"",IF(I9="Ziel",Q9,IF(I9="Stop",O9,IF(J9="","",J9))))</f>
        <v/>
      </c>
      <c r="S9" s="13" t="str">
        <f aca="false">IF(R9="","",(R9-H9)*IF(M9="Long",1,-1)-2*Slippage)</f>
        <v/>
      </c>
      <c r="T9" s="14" t="str">
        <f aca="false">IF(OR(S9="",P9=0),"",S9/P9)</f>
        <v/>
      </c>
      <c r="U9" s="15" t="str">
        <f aca="false">IF(S9="","",S9*Punktwert*Kontrakte-Kommission*Kontrakte)</f>
        <v/>
      </c>
      <c r="V9" s="15" t="str">
        <f aca="false">IF(U9="","",SUM($U$5:U9))</f>
        <v/>
      </c>
      <c r="W9" s="15" t="str">
        <f aca="false">IF(V9="","",MAX(0,MAX($V$5:V9)))</f>
        <v/>
      </c>
      <c r="X9" s="15" t="str">
        <f aca="false">IF(V9="","",V9-W9)</f>
        <v/>
      </c>
      <c r="Y9" s="12" t="str">
        <f aca="false">IF(N9&lt;&gt;"Trade","",IF(P9=0,"Stop = Einstieg?",IF(I9="","Ergebnis eintragen",IF(AND(I9="Zeit",J9=""),"Kurs 11:30 fehlt",IF(OR(AND(M9="Short",H9&gt;F9),AND(M9="Long",H9&lt;G9)),"Einstieg prüfen","ok")))))</f>
        <v/>
      </c>
      <c r="Z9" s="16" t="n">
        <f aca="false">IF(A9="","",WEEKDAY(A9,2))</f>
        <v>1</v>
      </c>
    </row>
    <row r="10" customFormat="false" ht="15" hidden="false" customHeight="false" outlineLevel="0" collapsed="false">
      <c r="A10" s="8" t="n">
        <v>46294</v>
      </c>
      <c r="B10" s="9"/>
      <c r="C10" s="9"/>
      <c r="D10" s="9"/>
      <c r="E10" s="9"/>
      <c r="F10" s="9"/>
      <c r="G10" s="9"/>
      <c r="H10" s="9"/>
      <c r="I10" s="10"/>
      <c r="J10" s="9"/>
      <c r="K10" s="10"/>
      <c r="L10" s="11" t="str">
        <f aca="false">IF(OR(B10="",C10=""),"",(C10-B10)/B10)</f>
        <v/>
      </c>
      <c r="M10" s="12" t="str">
        <f aca="false">IF(L10="","",IF(ABS(L10)&lt;MinDrive,"kein Trade",IF(L10&gt;0,"Short","Long")))</f>
        <v/>
      </c>
      <c r="N10" s="12" t="str">
        <f aca="false">IF(OR(M10="",M10="kein Trade"),"",IF(H10="","kein Signal","Trade"))</f>
        <v/>
      </c>
      <c r="O10" s="13" t="str">
        <f aca="false">IF(N10&lt;&gt;"Trade","",IF(M10="Short",D10,E10))</f>
        <v/>
      </c>
      <c r="P10" s="13" t="str">
        <f aca="false">IF(N10&lt;&gt;"Trade","",ABS(H10-O10))</f>
        <v/>
      </c>
      <c r="Q10" s="13" t="str">
        <f aca="false">IF(N10&lt;&gt;"Trade","",H10+IF(M10="Long",1,-1)*ZielR*P10)</f>
        <v/>
      </c>
      <c r="R10" s="13" t="str">
        <f aca="false">IF(OR(N10&lt;&gt;"Trade",I10=""),"",IF(I10="Ziel",Q10,IF(I10="Stop",O10,IF(J10="","",J10))))</f>
        <v/>
      </c>
      <c r="S10" s="13" t="str">
        <f aca="false">IF(R10="","",(R10-H10)*IF(M10="Long",1,-1)-2*Slippage)</f>
        <v/>
      </c>
      <c r="T10" s="14" t="str">
        <f aca="false">IF(OR(S10="",P10=0),"",S10/P10)</f>
        <v/>
      </c>
      <c r="U10" s="15" t="str">
        <f aca="false">IF(S10="","",S10*Punktwert*Kontrakte-Kommission*Kontrakte)</f>
        <v/>
      </c>
      <c r="V10" s="15" t="str">
        <f aca="false">IF(U10="","",SUM($U$5:U10))</f>
        <v/>
      </c>
      <c r="W10" s="15" t="str">
        <f aca="false">IF(V10="","",MAX(0,MAX($V$5:V10)))</f>
        <v/>
      </c>
      <c r="X10" s="15" t="str">
        <f aca="false">IF(V10="","",V10-W10)</f>
        <v/>
      </c>
      <c r="Y10" s="12" t="str">
        <f aca="false">IF(N10&lt;&gt;"Trade","",IF(P10=0,"Stop = Einstieg?",IF(I10="","Ergebnis eintragen",IF(AND(I10="Zeit",J10=""),"Kurs 11:30 fehlt",IF(OR(AND(M10="Short",H10&gt;F10),AND(M10="Long",H10&lt;G10)),"Einstieg prüfen","ok")))))</f>
        <v/>
      </c>
      <c r="Z10" s="16" t="n">
        <f aca="false">IF(A10="","",WEEKDAY(A10,2))</f>
        <v>2</v>
      </c>
    </row>
    <row r="11" customFormat="false" ht="15" hidden="false" customHeight="false" outlineLevel="0" collapsed="false">
      <c r="A11" s="8" t="n">
        <v>46295</v>
      </c>
      <c r="B11" s="9"/>
      <c r="C11" s="9"/>
      <c r="D11" s="9"/>
      <c r="E11" s="9"/>
      <c r="F11" s="9"/>
      <c r="G11" s="9"/>
      <c r="H11" s="9"/>
      <c r="I11" s="10"/>
      <c r="J11" s="9"/>
      <c r="K11" s="10"/>
      <c r="L11" s="11" t="str">
        <f aca="false">IF(OR(B11="",C11=""),"",(C11-B11)/B11)</f>
        <v/>
      </c>
      <c r="M11" s="12" t="str">
        <f aca="false">IF(L11="","",IF(ABS(L11)&lt;MinDrive,"kein Trade",IF(L11&gt;0,"Short","Long")))</f>
        <v/>
      </c>
      <c r="N11" s="12" t="str">
        <f aca="false">IF(OR(M11="",M11="kein Trade"),"",IF(H11="","kein Signal","Trade"))</f>
        <v/>
      </c>
      <c r="O11" s="13" t="str">
        <f aca="false">IF(N11&lt;&gt;"Trade","",IF(M11="Short",D11,E11))</f>
        <v/>
      </c>
      <c r="P11" s="13" t="str">
        <f aca="false">IF(N11&lt;&gt;"Trade","",ABS(H11-O11))</f>
        <v/>
      </c>
      <c r="Q11" s="13" t="str">
        <f aca="false">IF(N11&lt;&gt;"Trade","",H11+IF(M11="Long",1,-1)*ZielR*P11)</f>
        <v/>
      </c>
      <c r="R11" s="13" t="str">
        <f aca="false">IF(OR(N11&lt;&gt;"Trade",I11=""),"",IF(I11="Ziel",Q11,IF(I11="Stop",O11,IF(J11="","",J11))))</f>
        <v/>
      </c>
      <c r="S11" s="13" t="str">
        <f aca="false">IF(R11="","",(R11-H11)*IF(M11="Long",1,-1)-2*Slippage)</f>
        <v/>
      </c>
      <c r="T11" s="14" t="str">
        <f aca="false">IF(OR(S11="",P11=0),"",S11/P11)</f>
        <v/>
      </c>
      <c r="U11" s="15" t="str">
        <f aca="false">IF(S11="","",S11*Punktwert*Kontrakte-Kommission*Kontrakte)</f>
        <v/>
      </c>
      <c r="V11" s="15" t="str">
        <f aca="false">IF(U11="","",SUM($U$5:U11))</f>
        <v/>
      </c>
      <c r="W11" s="15" t="str">
        <f aca="false">IF(V11="","",MAX(0,MAX($V$5:V11)))</f>
        <v/>
      </c>
      <c r="X11" s="15" t="str">
        <f aca="false">IF(V11="","",V11-W11)</f>
        <v/>
      </c>
      <c r="Y11" s="12" t="str">
        <f aca="false">IF(N11&lt;&gt;"Trade","",IF(P11=0,"Stop = Einstieg?",IF(I11="","Ergebnis eintragen",IF(AND(I11="Zeit",J11=""),"Kurs 11:30 fehlt",IF(OR(AND(M11="Short",H11&gt;F11),AND(M11="Long",H11&lt;G11)),"Einstieg prüfen","ok")))))</f>
        <v/>
      </c>
      <c r="Z11" s="16" t="n">
        <f aca="false">IF(A11="","",WEEKDAY(A11,2))</f>
        <v>3</v>
      </c>
    </row>
    <row r="12" customFormat="false" ht="15" hidden="false" customHeight="false" outlineLevel="0" collapsed="false">
      <c r="A12" s="8" t="n">
        <v>46296</v>
      </c>
      <c r="B12" s="9"/>
      <c r="C12" s="9"/>
      <c r="D12" s="9"/>
      <c r="E12" s="9"/>
      <c r="F12" s="9"/>
      <c r="G12" s="9"/>
      <c r="H12" s="9"/>
      <c r="I12" s="10"/>
      <c r="J12" s="9"/>
      <c r="K12" s="10"/>
      <c r="L12" s="11" t="str">
        <f aca="false">IF(OR(B12="",C12=""),"",(C12-B12)/B12)</f>
        <v/>
      </c>
      <c r="M12" s="12" t="str">
        <f aca="false">IF(L12="","",IF(ABS(L12)&lt;MinDrive,"kein Trade",IF(L12&gt;0,"Short","Long")))</f>
        <v/>
      </c>
      <c r="N12" s="12" t="str">
        <f aca="false">IF(OR(M12="",M12="kein Trade"),"",IF(H12="","kein Signal","Trade"))</f>
        <v/>
      </c>
      <c r="O12" s="13" t="str">
        <f aca="false">IF(N12&lt;&gt;"Trade","",IF(M12="Short",D12,E12))</f>
        <v/>
      </c>
      <c r="P12" s="13" t="str">
        <f aca="false">IF(N12&lt;&gt;"Trade","",ABS(H12-O12))</f>
        <v/>
      </c>
      <c r="Q12" s="13" t="str">
        <f aca="false">IF(N12&lt;&gt;"Trade","",H12+IF(M12="Long",1,-1)*ZielR*P12)</f>
        <v/>
      </c>
      <c r="R12" s="13" t="str">
        <f aca="false">IF(OR(N12&lt;&gt;"Trade",I12=""),"",IF(I12="Ziel",Q12,IF(I12="Stop",O12,IF(J12="","",J12))))</f>
        <v/>
      </c>
      <c r="S12" s="13" t="str">
        <f aca="false">IF(R12="","",(R12-H12)*IF(M12="Long",1,-1)-2*Slippage)</f>
        <v/>
      </c>
      <c r="T12" s="14" t="str">
        <f aca="false">IF(OR(S12="",P12=0),"",S12/P12)</f>
        <v/>
      </c>
      <c r="U12" s="15" t="str">
        <f aca="false">IF(S12="","",S12*Punktwert*Kontrakte-Kommission*Kontrakte)</f>
        <v/>
      </c>
      <c r="V12" s="15" t="str">
        <f aca="false">IF(U12="","",SUM($U$5:U12))</f>
        <v/>
      </c>
      <c r="W12" s="15" t="str">
        <f aca="false">IF(V12="","",MAX(0,MAX($V$5:V12)))</f>
        <v/>
      </c>
      <c r="X12" s="15" t="str">
        <f aca="false">IF(V12="","",V12-W12)</f>
        <v/>
      </c>
      <c r="Y12" s="12" t="str">
        <f aca="false">IF(N12&lt;&gt;"Trade","",IF(P12=0,"Stop = Einstieg?",IF(I12="","Ergebnis eintragen",IF(AND(I12="Zeit",J12=""),"Kurs 11:30 fehlt",IF(OR(AND(M12="Short",H12&gt;F12),AND(M12="Long",H12&lt;G12)),"Einstieg prüfen","ok")))))</f>
        <v/>
      </c>
      <c r="Z12" s="16" t="n">
        <f aca="false">IF(A12="","",WEEKDAY(A12,2))</f>
        <v>4</v>
      </c>
    </row>
    <row r="13" customFormat="false" ht="15" hidden="false" customHeight="false" outlineLevel="0" collapsed="false">
      <c r="A13" s="8" t="n">
        <v>46297</v>
      </c>
      <c r="B13" s="9"/>
      <c r="C13" s="9"/>
      <c r="D13" s="9"/>
      <c r="E13" s="9"/>
      <c r="F13" s="9"/>
      <c r="G13" s="9"/>
      <c r="H13" s="9"/>
      <c r="I13" s="10"/>
      <c r="J13" s="9"/>
      <c r="K13" s="10"/>
      <c r="L13" s="11" t="str">
        <f aca="false">IF(OR(B13="",C13=""),"",(C13-B13)/B13)</f>
        <v/>
      </c>
      <c r="M13" s="12" t="str">
        <f aca="false">IF(L13="","",IF(ABS(L13)&lt;MinDrive,"kein Trade",IF(L13&gt;0,"Short","Long")))</f>
        <v/>
      </c>
      <c r="N13" s="12" t="str">
        <f aca="false">IF(OR(M13="",M13="kein Trade"),"",IF(H13="","kein Signal","Trade"))</f>
        <v/>
      </c>
      <c r="O13" s="13" t="str">
        <f aca="false">IF(N13&lt;&gt;"Trade","",IF(M13="Short",D13,E13))</f>
        <v/>
      </c>
      <c r="P13" s="13" t="str">
        <f aca="false">IF(N13&lt;&gt;"Trade","",ABS(H13-O13))</f>
        <v/>
      </c>
      <c r="Q13" s="13" t="str">
        <f aca="false">IF(N13&lt;&gt;"Trade","",H13+IF(M13="Long",1,-1)*ZielR*P13)</f>
        <v/>
      </c>
      <c r="R13" s="13" t="str">
        <f aca="false">IF(OR(N13&lt;&gt;"Trade",I13=""),"",IF(I13="Ziel",Q13,IF(I13="Stop",O13,IF(J13="","",J13))))</f>
        <v/>
      </c>
      <c r="S13" s="13" t="str">
        <f aca="false">IF(R13="","",(R13-H13)*IF(M13="Long",1,-1)-2*Slippage)</f>
        <v/>
      </c>
      <c r="T13" s="14" t="str">
        <f aca="false">IF(OR(S13="",P13=0),"",S13/P13)</f>
        <v/>
      </c>
      <c r="U13" s="15" t="str">
        <f aca="false">IF(S13="","",S13*Punktwert*Kontrakte-Kommission*Kontrakte)</f>
        <v/>
      </c>
      <c r="V13" s="15" t="str">
        <f aca="false">IF(U13="","",SUM($U$5:U13))</f>
        <v/>
      </c>
      <c r="W13" s="15" t="str">
        <f aca="false">IF(V13="","",MAX(0,MAX($V$5:V13)))</f>
        <v/>
      </c>
      <c r="X13" s="15" t="str">
        <f aca="false">IF(V13="","",V13-W13)</f>
        <v/>
      </c>
      <c r="Y13" s="12" t="str">
        <f aca="false">IF(N13&lt;&gt;"Trade","",IF(P13=0,"Stop = Einstieg?",IF(I13="","Ergebnis eintragen",IF(AND(I13="Zeit",J13=""),"Kurs 11:30 fehlt",IF(OR(AND(M13="Short",H13&gt;F13),AND(M13="Long",H13&lt;G13)),"Einstieg prüfen","ok")))))</f>
        <v/>
      </c>
      <c r="Z13" s="16" t="n">
        <f aca="false">IF(A13="","",WEEKDAY(A13,2))</f>
        <v>5</v>
      </c>
    </row>
    <row r="14" customFormat="false" ht="15" hidden="false" customHeight="false" outlineLevel="0" collapsed="false">
      <c r="A14" s="8" t="n">
        <v>46300</v>
      </c>
      <c r="B14" s="9"/>
      <c r="C14" s="9"/>
      <c r="D14" s="9"/>
      <c r="E14" s="9"/>
      <c r="F14" s="9"/>
      <c r="G14" s="9"/>
      <c r="H14" s="9"/>
      <c r="I14" s="10"/>
      <c r="J14" s="9"/>
      <c r="K14" s="10"/>
      <c r="L14" s="11" t="str">
        <f aca="false">IF(OR(B14="",C14=""),"",(C14-B14)/B14)</f>
        <v/>
      </c>
      <c r="M14" s="12" t="str">
        <f aca="false">IF(L14="","",IF(ABS(L14)&lt;MinDrive,"kein Trade",IF(L14&gt;0,"Short","Long")))</f>
        <v/>
      </c>
      <c r="N14" s="12" t="str">
        <f aca="false">IF(OR(M14="",M14="kein Trade"),"",IF(H14="","kein Signal","Trade"))</f>
        <v/>
      </c>
      <c r="O14" s="13" t="str">
        <f aca="false">IF(N14&lt;&gt;"Trade","",IF(M14="Short",D14,E14))</f>
        <v/>
      </c>
      <c r="P14" s="13" t="str">
        <f aca="false">IF(N14&lt;&gt;"Trade","",ABS(H14-O14))</f>
        <v/>
      </c>
      <c r="Q14" s="13" t="str">
        <f aca="false">IF(N14&lt;&gt;"Trade","",H14+IF(M14="Long",1,-1)*ZielR*P14)</f>
        <v/>
      </c>
      <c r="R14" s="13" t="str">
        <f aca="false">IF(OR(N14&lt;&gt;"Trade",I14=""),"",IF(I14="Ziel",Q14,IF(I14="Stop",O14,IF(J14="","",J14))))</f>
        <v/>
      </c>
      <c r="S14" s="13" t="str">
        <f aca="false">IF(R14="","",(R14-H14)*IF(M14="Long",1,-1)-2*Slippage)</f>
        <v/>
      </c>
      <c r="T14" s="14" t="str">
        <f aca="false">IF(OR(S14="",P14=0),"",S14/P14)</f>
        <v/>
      </c>
      <c r="U14" s="15" t="str">
        <f aca="false">IF(S14="","",S14*Punktwert*Kontrakte-Kommission*Kontrakte)</f>
        <v/>
      </c>
      <c r="V14" s="15" t="str">
        <f aca="false">IF(U14="","",SUM($U$5:U14))</f>
        <v/>
      </c>
      <c r="W14" s="15" t="str">
        <f aca="false">IF(V14="","",MAX(0,MAX($V$5:V14)))</f>
        <v/>
      </c>
      <c r="X14" s="15" t="str">
        <f aca="false">IF(V14="","",V14-W14)</f>
        <v/>
      </c>
      <c r="Y14" s="12" t="str">
        <f aca="false">IF(N14&lt;&gt;"Trade","",IF(P14=0,"Stop = Einstieg?",IF(I14="","Ergebnis eintragen",IF(AND(I14="Zeit",J14=""),"Kurs 11:30 fehlt",IF(OR(AND(M14="Short",H14&gt;F14),AND(M14="Long",H14&lt;G14)),"Einstieg prüfen","ok")))))</f>
        <v/>
      </c>
      <c r="Z14" s="16" t="n">
        <f aca="false">IF(A14="","",WEEKDAY(A14,2))</f>
        <v>1</v>
      </c>
    </row>
    <row r="15" customFormat="false" ht="15" hidden="false" customHeight="false" outlineLevel="0" collapsed="false">
      <c r="A15" s="8" t="n">
        <v>46301</v>
      </c>
      <c r="B15" s="9"/>
      <c r="C15" s="9"/>
      <c r="D15" s="9"/>
      <c r="E15" s="9"/>
      <c r="F15" s="9"/>
      <c r="G15" s="9"/>
      <c r="H15" s="9"/>
      <c r="I15" s="10"/>
      <c r="J15" s="9"/>
      <c r="K15" s="10"/>
      <c r="L15" s="11" t="str">
        <f aca="false">IF(OR(B15="",C15=""),"",(C15-B15)/B15)</f>
        <v/>
      </c>
      <c r="M15" s="12" t="str">
        <f aca="false">IF(L15="","",IF(ABS(L15)&lt;MinDrive,"kein Trade",IF(L15&gt;0,"Short","Long")))</f>
        <v/>
      </c>
      <c r="N15" s="12" t="str">
        <f aca="false">IF(OR(M15="",M15="kein Trade"),"",IF(H15="","kein Signal","Trade"))</f>
        <v/>
      </c>
      <c r="O15" s="13" t="str">
        <f aca="false">IF(N15&lt;&gt;"Trade","",IF(M15="Short",D15,E15))</f>
        <v/>
      </c>
      <c r="P15" s="13" t="str">
        <f aca="false">IF(N15&lt;&gt;"Trade","",ABS(H15-O15))</f>
        <v/>
      </c>
      <c r="Q15" s="13" t="str">
        <f aca="false">IF(N15&lt;&gt;"Trade","",H15+IF(M15="Long",1,-1)*ZielR*P15)</f>
        <v/>
      </c>
      <c r="R15" s="13" t="str">
        <f aca="false">IF(OR(N15&lt;&gt;"Trade",I15=""),"",IF(I15="Ziel",Q15,IF(I15="Stop",O15,IF(J15="","",J15))))</f>
        <v/>
      </c>
      <c r="S15" s="13" t="str">
        <f aca="false">IF(R15="","",(R15-H15)*IF(M15="Long",1,-1)-2*Slippage)</f>
        <v/>
      </c>
      <c r="T15" s="14" t="str">
        <f aca="false">IF(OR(S15="",P15=0),"",S15/P15)</f>
        <v/>
      </c>
      <c r="U15" s="15" t="str">
        <f aca="false">IF(S15="","",S15*Punktwert*Kontrakte-Kommission*Kontrakte)</f>
        <v/>
      </c>
      <c r="V15" s="15" t="str">
        <f aca="false">IF(U15="","",SUM($U$5:U15))</f>
        <v/>
      </c>
      <c r="W15" s="15" t="str">
        <f aca="false">IF(V15="","",MAX(0,MAX($V$5:V15)))</f>
        <v/>
      </c>
      <c r="X15" s="15" t="str">
        <f aca="false">IF(V15="","",V15-W15)</f>
        <v/>
      </c>
      <c r="Y15" s="12" t="str">
        <f aca="false">IF(N15&lt;&gt;"Trade","",IF(P15=0,"Stop = Einstieg?",IF(I15="","Ergebnis eintragen",IF(AND(I15="Zeit",J15=""),"Kurs 11:30 fehlt",IF(OR(AND(M15="Short",H15&gt;F15),AND(M15="Long",H15&lt;G15)),"Einstieg prüfen","ok")))))</f>
        <v/>
      </c>
      <c r="Z15" s="16" t="n">
        <f aca="false">IF(A15="","",WEEKDAY(A15,2))</f>
        <v>2</v>
      </c>
    </row>
    <row r="16" customFormat="false" ht="15" hidden="false" customHeight="false" outlineLevel="0" collapsed="false">
      <c r="A16" s="8" t="n">
        <v>46302</v>
      </c>
      <c r="B16" s="9"/>
      <c r="C16" s="9"/>
      <c r="D16" s="9"/>
      <c r="E16" s="9"/>
      <c r="F16" s="9"/>
      <c r="G16" s="9"/>
      <c r="H16" s="9"/>
      <c r="I16" s="10"/>
      <c r="J16" s="9"/>
      <c r="K16" s="10"/>
      <c r="L16" s="11" t="str">
        <f aca="false">IF(OR(B16="",C16=""),"",(C16-B16)/B16)</f>
        <v/>
      </c>
      <c r="M16" s="12" t="str">
        <f aca="false">IF(L16="","",IF(ABS(L16)&lt;MinDrive,"kein Trade",IF(L16&gt;0,"Short","Long")))</f>
        <v/>
      </c>
      <c r="N16" s="12" t="str">
        <f aca="false">IF(OR(M16="",M16="kein Trade"),"",IF(H16="","kein Signal","Trade"))</f>
        <v/>
      </c>
      <c r="O16" s="13" t="str">
        <f aca="false">IF(N16&lt;&gt;"Trade","",IF(M16="Short",D16,E16))</f>
        <v/>
      </c>
      <c r="P16" s="13" t="str">
        <f aca="false">IF(N16&lt;&gt;"Trade","",ABS(H16-O16))</f>
        <v/>
      </c>
      <c r="Q16" s="13" t="str">
        <f aca="false">IF(N16&lt;&gt;"Trade","",H16+IF(M16="Long",1,-1)*ZielR*P16)</f>
        <v/>
      </c>
      <c r="R16" s="13" t="str">
        <f aca="false">IF(OR(N16&lt;&gt;"Trade",I16=""),"",IF(I16="Ziel",Q16,IF(I16="Stop",O16,IF(J16="","",J16))))</f>
        <v/>
      </c>
      <c r="S16" s="13" t="str">
        <f aca="false">IF(R16="","",(R16-H16)*IF(M16="Long",1,-1)-2*Slippage)</f>
        <v/>
      </c>
      <c r="T16" s="14" t="str">
        <f aca="false">IF(OR(S16="",P16=0),"",S16/P16)</f>
        <v/>
      </c>
      <c r="U16" s="15" t="str">
        <f aca="false">IF(S16="","",S16*Punktwert*Kontrakte-Kommission*Kontrakte)</f>
        <v/>
      </c>
      <c r="V16" s="15" t="str">
        <f aca="false">IF(U16="","",SUM($U$5:U16))</f>
        <v/>
      </c>
      <c r="W16" s="15" t="str">
        <f aca="false">IF(V16="","",MAX(0,MAX($V$5:V16)))</f>
        <v/>
      </c>
      <c r="X16" s="15" t="str">
        <f aca="false">IF(V16="","",V16-W16)</f>
        <v/>
      </c>
      <c r="Y16" s="12" t="str">
        <f aca="false">IF(N16&lt;&gt;"Trade","",IF(P16=0,"Stop = Einstieg?",IF(I16="","Ergebnis eintragen",IF(AND(I16="Zeit",J16=""),"Kurs 11:30 fehlt",IF(OR(AND(M16="Short",H16&gt;F16),AND(M16="Long",H16&lt;G16)),"Einstieg prüfen","ok")))))</f>
        <v/>
      </c>
      <c r="Z16" s="16" t="n">
        <f aca="false">IF(A16="","",WEEKDAY(A16,2))</f>
        <v>3</v>
      </c>
    </row>
    <row r="17" customFormat="false" ht="15" hidden="false" customHeight="false" outlineLevel="0" collapsed="false">
      <c r="A17" s="8" t="n">
        <v>46303</v>
      </c>
      <c r="B17" s="9"/>
      <c r="C17" s="9"/>
      <c r="D17" s="9"/>
      <c r="E17" s="9"/>
      <c r="F17" s="9"/>
      <c r="G17" s="9"/>
      <c r="H17" s="9"/>
      <c r="I17" s="10"/>
      <c r="J17" s="9"/>
      <c r="K17" s="10"/>
      <c r="L17" s="11" t="str">
        <f aca="false">IF(OR(B17="",C17=""),"",(C17-B17)/B17)</f>
        <v/>
      </c>
      <c r="M17" s="12" t="str">
        <f aca="false">IF(L17="","",IF(ABS(L17)&lt;MinDrive,"kein Trade",IF(L17&gt;0,"Short","Long")))</f>
        <v/>
      </c>
      <c r="N17" s="12" t="str">
        <f aca="false">IF(OR(M17="",M17="kein Trade"),"",IF(H17="","kein Signal","Trade"))</f>
        <v/>
      </c>
      <c r="O17" s="13" t="str">
        <f aca="false">IF(N17&lt;&gt;"Trade","",IF(M17="Short",D17,E17))</f>
        <v/>
      </c>
      <c r="P17" s="13" t="str">
        <f aca="false">IF(N17&lt;&gt;"Trade","",ABS(H17-O17))</f>
        <v/>
      </c>
      <c r="Q17" s="13" t="str">
        <f aca="false">IF(N17&lt;&gt;"Trade","",H17+IF(M17="Long",1,-1)*ZielR*P17)</f>
        <v/>
      </c>
      <c r="R17" s="13" t="str">
        <f aca="false">IF(OR(N17&lt;&gt;"Trade",I17=""),"",IF(I17="Ziel",Q17,IF(I17="Stop",O17,IF(J17="","",J17))))</f>
        <v/>
      </c>
      <c r="S17" s="13" t="str">
        <f aca="false">IF(R17="","",(R17-H17)*IF(M17="Long",1,-1)-2*Slippage)</f>
        <v/>
      </c>
      <c r="T17" s="14" t="str">
        <f aca="false">IF(OR(S17="",P17=0),"",S17/P17)</f>
        <v/>
      </c>
      <c r="U17" s="15" t="str">
        <f aca="false">IF(S17="","",S17*Punktwert*Kontrakte-Kommission*Kontrakte)</f>
        <v/>
      </c>
      <c r="V17" s="15" t="str">
        <f aca="false">IF(U17="","",SUM($U$5:U17))</f>
        <v/>
      </c>
      <c r="W17" s="15" t="str">
        <f aca="false">IF(V17="","",MAX(0,MAX($V$5:V17)))</f>
        <v/>
      </c>
      <c r="X17" s="15" t="str">
        <f aca="false">IF(V17="","",V17-W17)</f>
        <v/>
      </c>
      <c r="Y17" s="12" t="str">
        <f aca="false">IF(N17&lt;&gt;"Trade","",IF(P17=0,"Stop = Einstieg?",IF(I17="","Ergebnis eintragen",IF(AND(I17="Zeit",J17=""),"Kurs 11:30 fehlt",IF(OR(AND(M17="Short",H17&gt;F17),AND(M17="Long",H17&lt;G17)),"Einstieg prüfen","ok")))))</f>
        <v/>
      </c>
      <c r="Z17" s="16" t="n">
        <f aca="false">IF(A17="","",WEEKDAY(A17,2))</f>
        <v>4</v>
      </c>
    </row>
    <row r="18" customFormat="false" ht="15" hidden="false" customHeight="false" outlineLevel="0" collapsed="false">
      <c r="A18" s="8" t="n">
        <v>46304</v>
      </c>
      <c r="B18" s="9"/>
      <c r="C18" s="9"/>
      <c r="D18" s="9"/>
      <c r="E18" s="9"/>
      <c r="F18" s="9"/>
      <c r="G18" s="9"/>
      <c r="H18" s="9"/>
      <c r="I18" s="10"/>
      <c r="J18" s="9"/>
      <c r="K18" s="10"/>
      <c r="L18" s="11" t="str">
        <f aca="false">IF(OR(B18="",C18=""),"",(C18-B18)/B18)</f>
        <v/>
      </c>
      <c r="M18" s="12" t="str">
        <f aca="false">IF(L18="","",IF(ABS(L18)&lt;MinDrive,"kein Trade",IF(L18&gt;0,"Short","Long")))</f>
        <v/>
      </c>
      <c r="N18" s="12" t="str">
        <f aca="false">IF(OR(M18="",M18="kein Trade"),"",IF(H18="","kein Signal","Trade"))</f>
        <v/>
      </c>
      <c r="O18" s="13" t="str">
        <f aca="false">IF(N18&lt;&gt;"Trade","",IF(M18="Short",D18,E18))</f>
        <v/>
      </c>
      <c r="P18" s="13" t="str">
        <f aca="false">IF(N18&lt;&gt;"Trade","",ABS(H18-O18))</f>
        <v/>
      </c>
      <c r="Q18" s="13" t="str">
        <f aca="false">IF(N18&lt;&gt;"Trade","",H18+IF(M18="Long",1,-1)*ZielR*P18)</f>
        <v/>
      </c>
      <c r="R18" s="13" t="str">
        <f aca="false">IF(OR(N18&lt;&gt;"Trade",I18=""),"",IF(I18="Ziel",Q18,IF(I18="Stop",O18,IF(J18="","",J18))))</f>
        <v/>
      </c>
      <c r="S18" s="13" t="str">
        <f aca="false">IF(R18="","",(R18-H18)*IF(M18="Long",1,-1)-2*Slippage)</f>
        <v/>
      </c>
      <c r="T18" s="14" t="str">
        <f aca="false">IF(OR(S18="",P18=0),"",S18/P18)</f>
        <v/>
      </c>
      <c r="U18" s="15" t="str">
        <f aca="false">IF(S18="","",S18*Punktwert*Kontrakte-Kommission*Kontrakte)</f>
        <v/>
      </c>
      <c r="V18" s="15" t="str">
        <f aca="false">IF(U18="","",SUM($U$5:U18))</f>
        <v/>
      </c>
      <c r="W18" s="15" t="str">
        <f aca="false">IF(V18="","",MAX(0,MAX($V$5:V18)))</f>
        <v/>
      </c>
      <c r="X18" s="15" t="str">
        <f aca="false">IF(V18="","",V18-W18)</f>
        <v/>
      </c>
      <c r="Y18" s="12" t="str">
        <f aca="false">IF(N18&lt;&gt;"Trade","",IF(P18=0,"Stop = Einstieg?",IF(I18="","Ergebnis eintragen",IF(AND(I18="Zeit",J18=""),"Kurs 11:30 fehlt",IF(OR(AND(M18="Short",H18&gt;F18),AND(M18="Long",H18&lt;G18)),"Einstieg prüfen","ok")))))</f>
        <v/>
      </c>
      <c r="Z18" s="16" t="n">
        <f aca="false">IF(A18="","",WEEKDAY(A18,2))</f>
        <v>5</v>
      </c>
    </row>
    <row r="19" customFormat="false" ht="15" hidden="false" customHeight="false" outlineLevel="0" collapsed="false">
      <c r="A19" s="8" t="n">
        <v>46307</v>
      </c>
      <c r="B19" s="9"/>
      <c r="C19" s="9"/>
      <c r="D19" s="9"/>
      <c r="E19" s="9"/>
      <c r="F19" s="9"/>
      <c r="G19" s="9"/>
      <c r="H19" s="9"/>
      <c r="I19" s="10"/>
      <c r="J19" s="9"/>
      <c r="K19" s="10"/>
      <c r="L19" s="11" t="str">
        <f aca="false">IF(OR(B19="",C19=""),"",(C19-B19)/B19)</f>
        <v/>
      </c>
      <c r="M19" s="12" t="str">
        <f aca="false">IF(L19="","",IF(ABS(L19)&lt;MinDrive,"kein Trade",IF(L19&gt;0,"Short","Long")))</f>
        <v/>
      </c>
      <c r="N19" s="12" t="str">
        <f aca="false">IF(OR(M19="",M19="kein Trade"),"",IF(H19="","kein Signal","Trade"))</f>
        <v/>
      </c>
      <c r="O19" s="13" t="str">
        <f aca="false">IF(N19&lt;&gt;"Trade","",IF(M19="Short",D19,E19))</f>
        <v/>
      </c>
      <c r="P19" s="13" t="str">
        <f aca="false">IF(N19&lt;&gt;"Trade","",ABS(H19-O19))</f>
        <v/>
      </c>
      <c r="Q19" s="13" t="str">
        <f aca="false">IF(N19&lt;&gt;"Trade","",H19+IF(M19="Long",1,-1)*ZielR*P19)</f>
        <v/>
      </c>
      <c r="R19" s="13" t="str">
        <f aca="false">IF(OR(N19&lt;&gt;"Trade",I19=""),"",IF(I19="Ziel",Q19,IF(I19="Stop",O19,IF(J19="","",J19))))</f>
        <v/>
      </c>
      <c r="S19" s="13" t="str">
        <f aca="false">IF(R19="","",(R19-H19)*IF(M19="Long",1,-1)-2*Slippage)</f>
        <v/>
      </c>
      <c r="T19" s="14" t="str">
        <f aca="false">IF(OR(S19="",P19=0),"",S19/P19)</f>
        <v/>
      </c>
      <c r="U19" s="15" t="str">
        <f aca="false">IF(S19="","",S19*Punktwert*Kontrakte-Kommission*Kontrakte)</f>
        <v/>
      </c>
      <c r="V19" s="15" t="str">
        <f aca="false">IF(U19="","",SUM($U$5:U19))</f>
        <v/>
      </c>
      <c r="W19" s="15" t="str">
        <f aca="false">IF(V19="","",MAX(0,MAX($V$5:V19)))</f>
        <v/>
      </c>
      <c r="X19" s="15" t="str">
        <f aca="false">IF(V19="","",V19-W19)</f>
        <v/>
      </c>
      <c r="Y19" s="12" t="str">
        <f aca="false">IF(N19&lt;&gt;"Trade","",IF(P19=0,"Stop = Einstieg?",IF(I19="","Ergebnis eintragen",IF(AND(I19="Zeit",J19=""),"Kurs 11:30 fehlt",IF(OR(AND(M19="Short",H19&gt;F19),AND(M19="Long",H19&lt;G19)),"Einstieg prüfen","ok")))))</f>
        <v/>
      </c>
      <c r="Z19" s="16" t="n">
        <f aca="false">IF(A19="","",WEEKDAY(A19,2))</f>
        <v>1</v>
      </c>
    </row>
    <row r="20" customFormat="false" ht="15" hidden="false" customHeight="false" outlineLevel="0" collapsed="false">
      <c r="A20" s="8" t="n">
        <v>46308</v>
      </c>
      <c r="B20" s="9"/>
      <c r="C20" s="9"/>
      <c r="D20" s="9"/>
      <c r="E20" s="9"/>
      <c r="F20" s="9"/>
      <c r="G20" s="9"/>
      <c r="H20" s="9"/>
      <c r="I20" s="10"/>
      <c r="J20" s="9"/>
      <c r="K20" s="10"/>
      <c r="L20" s="11" t="str">
        <f aca="false">IF(OR(B20="",C20=""),"",(C20-B20)/B20)</f>
        <v/>
      </c>
      <c r="M20" s="12" t="str">
        <f aca="false">IF(L20="","",IF(ABS(L20)&lt;MinDrive,"kein Trade",IF(L20&gt;0,"Short","Long")))</f>
        <v/>
      </c>
      <c r="N20" s="12" t="str">
        <f aca="false">IF(OR(M20="",M20="kein Trade"),"",IF(H20="","kein Signal","Trade"))</f>
        <v/>
      </c>
      <c r="O20" s="13" t="str">
        <f aca="false">IF(N20&lt;&gt;"Trade","",IF(M20="Short",D20,E20))</f>
        <v/>
      </c>
      <c r="P20" s="13" t="str">
        <f aca="false">IF(N20&lt;&gt;"Trade","",ABS(H20-O20))</f>
        <v/>
      </c>
      <c r="Q20" s="13" t="str">
        <f aca="false">IF(N20&lt;&gt;"Trade","",H20+IF(M20="Long",1,-1)*ZielR*P20)</f>
        <v/>
      </c>
      <c r="R20" s="13" t="str">
        <f aca="false">IF(OR(N20&lt;&gt;"Trade",I20=""),"",IF(I20="Ziel",Q20,IF(I20="Stop",O20,IF(J20="","",J20))))</f>
        <v/>
      </c>
      <c r="S20" s="13" t="str">
        <f aca="false">IF(R20="","",(R20-H20)*IF(M20="Long",1,-1)-2*Slippage)</f>
        <v/>
      </c>
      <c r="T20" s="14" t="str">
        <f aca="false">IF(OR(S20="",P20=0),"",S20/P20)</f>
        <v/>
      </c>
      <c r="U20" s="15" t="str">
        <f aca="false">IF(S20="","",S20*Punktwert*Kontrakte-Kommission*Kontrakte)</f>
        <v/>
      </c>
      <c r="V20" s="15" t="str">
        <f aca="false">IF(U20="","",SUM($U$5:U20))</f>
        <v/>
      </c>
      <c r="W20" s="15" t="str">
        <f aca="false">IF(V20="","",MAX(0,MAX($V$5:V20)))</f>
        <v/>
      </c>
      <c r="X20" s="15" t="str">
        <f aca="false">IF(V20="","",V20-W20)</f>
        <v/>
      </c>
      <c r="Y20" s="12" t="str">
        <f aca="false">IF(N20&lt;&gt;"Trade","",IF(P20=0,"Stop = Einstieg?",IF(I20="","Ergebnis eintragen",IF(AND(I20="Zeit",J20=""),"Kurs 11:30 fehlt",IF(OR(AND(M20="Short",H20&gt;F20),AND(M20="Long",H20&lt;G20)),"Einstieg prüfen","ok")))))</f>
        <v/>
      </c>
      <c r="Z20" s="16" t="n">
        <f aca="false">IF(A20="","",WEEKDAY(A20,2))</f>
        <v>2</v>
      </c>
    </row>
    <row r="21" customFormat="false" ht="15" hidden="false" customHeight="false" outlineLevel="0" collapsed="false">
      <c r="A21" s="8" t="n">
        <v>46309</v>
      </c>
      <c r="B21" s="9"/>
      <c r="C21" s="9"/>
      <c r="D21" s="9"/>
      <c r="E21" s="9"/>
      <c r="F21" s="9"/>
      <c r="G21" s="9"/>
      <c r="H21" s="9"/>
      <c r="I21" s="10"/>
      <c r="J21" s="9"/>
      <c r="K21" s="10"/>
      <c r="L21" s="11" t="str">
        <f aca="false">IF(OR(B21="",C21=""),"",(C21-B21)/B21)</f>
        <v/>
      </c>
      <c r="M21" s="12" t="str">
        <f aca="false">IF(L21="","",IF(ABS(L21)&lt;MinDrive,"kein Trade",IF(L21&gt;0,"Short","Long")))</f>
        <v/>
      </c>
      <c r="N21" s="12" t="str">
        <f aca="false">IF(OR(M21="",M21="kein Trade"),"",IF(H21="","kein Signal","Trade"))</f>
        <v/>
      </c>
      <c r="O21" s="13" t="str">
        <f aca="false">IF(N21&lt;&gt;"Trade","",IF(M21="Short",D21,E21))</f>
        <v/>
      </c>
      <c r="P21" s="13" t="str">
        <f aca="false">IF(N21&lt;&gt;"Trade","",ABS(H21-O21))</f>
        <v/>
      </c>
      <c r="Q21" s="13" t="str">
        <f aca="false">IF(N21&lt;&gt;"Trade","",H21+IF(M21="Long",1,-1)*ZielR*P21)</f>
        <v/>
      </c>
      <c r="R21" s="13" t="str">
        <f aca="false">IF(OR(N21&lt;&gt;"Trade",I21=""),"",IF(I21="Ziel",Q21,IF(I21="Stop",O21,IF(J21="","",J21))))</f>
        <v/>
      </c>
      <c r="S21" s="13" t="str">
        <f aca="false">IF(R21="","",(R21-H21)*IF(M21="Long",1,-1)-2*Slippage)</f>
        <v/>
      </c>
      <c r="T21" s="14" t="str">
        <f aca="false">IF(OR(S21="",P21=0),"",S21/P21)</f>
        <v/>
      </c>
      <c r="U21" s="15" t="str">
        <f aca="false">IF(S21="","",S21*Punktwert*Kontrakte-Kommission*Kontrakte)</f>
        <v/>
      </c>
      <c r="V21" s="15" t="str">
        <f aca="false">IF(U21="","",SUM($U$5:U21))</f>
        <v/>
      </c>
      <c r="W21" s="15" t="str">
        <f aca="false">IF(V21="","",MAX(0,MAX($V$5:V21)))</f>
        <v/>
      </c>
      <c r="X21" s="15" t="str">
        <f aca="false">IF(V21="","",V21-W21)</f>
        <v/>
      </c>
      <c r="Y21" s="12" t="str">
        <f aca="false">IF(N21&lt;&gt;"Trade","",IF(P21=0,"Stop = Einstieg?",IF(I21="","Ergebnis eintragen",IF(AND(I21="Zeit",J21=""),"Kurs 11:30 fehlt",IF(OR(AND(M21="Short",H21&gt;F21),AND(M21="Long",H21&lt;G21)),"Einstieg prüfen","ok")))))</f>
        <v/>
      </c>
      <c r="Z21" s="16" t="n">
        <f aca="false">IF(A21="","",WEEKDAY(A21,2))</f>
        <v>3</v>
      </c>
    </row>
    <row r="22" customFormat="false" ht="15" hidden="false" customHeight="false" outlineLevel="0" collapsed="false">
      <c r="A22" s="8" t="n">
        <v>46310</v>
      </c>
      <c r="B22" s="9"/>
      <c r="C22" s="9"/>
      <c r="D22" s="9"/>
      <c r="E22" s="9"/>
      <c r="F22" s="9"/>
      <c r="G22" s="9"/>
      <c r="H22" s="9"/>
      <c r="I22" s="10"/>
      <c r="J22" s="9"/>
      <c r="K22" s="10"/>
      <c r="L22" s="11" t="str">
        <f aca="false">IF(OR(B22="",C22=""),"",(C22-B22)/B22)</f>
        <v/>
      </c>
      <c r="M22" s="12" t="str">
        <f aca="false">IF(L22="","",IF(ABS(L22)&lt;MinDrive,"kein Trade",IF(L22&gt;0,"Short","Long")))</f>
        <v/>
      </c>
      <c r="N22" s="12" t="str">
        <f aca="false">IF(OR(M22="",M22="kein Trade"),"",IF(H22="","kein Signal","Trade"))</f>
        <v/>
      </c>
      <c r="O22" s="13" t="str">
        <f aca="false">IF(N22&lt;&gt;"Trade","",IF(M22="Short",D22,E22))</f>
        <v/>
      </c>
      <c r="P22" s="13" t="str">
        <f aca="false">IF(N22&lt;&gt;"Trade","",ABS(H22-O22))</f>
        <v/>
      </c>
      <c r="Q22" s="13" t="str">
        <f aca="false">IF(N22&lt;&gt;"Trade","",H22+IF(M22="Long",1,-1)*ZielR*P22)</f>
        <v/>
      </c>
      <c r="R22" s="13" t="str">
        <f aca="false">IF(OR(N22&lt;&gt;"Trade",I22=""),"",IF(I22="Ziel",Q22,IF(I22="Stop",O22,IF(J22="","",J22))))</f>
        <v/>
      </c>
      <c r="S22" s="13" t="str">
        <f aca="false">IF(R22="","",(R22-H22)*IF(M22="Long",1,-1)-2*Slippage)</f>
        <v/>
      </c>
      <c r="T22" s="14" t="str">
        <f aca="false">IF(OR(S22="",P22=0),"",S22/P22)</f>
        <v/>
      </c>
      <c r="U22" s="15" t="str">
        <f aca="false">IF(S22="","",S22*Punktwert*Kontrakte-Kommission*Kontrakte)</f>
        <v/>
      </c>
      <c r="V22" s="15" t="str">
        <f aca="false">IF(U22="","",SUM($U$5:U22))</f>
        <v/>
      </c>
      <c r="W22" s="15" t="str">
        <f aca="false">IF(V22="","",MAX(0,MAX($V$5:V22)))</f>
        <v/>
      </c>
      <c r="X22" s="15" t="str">
        <f aca="false">IF(V22="","",V22-W22)</f>
        <v/>
      </c>
      <c r="Y22" s="12" t="str">
        <f aca="false">IF(N22&lt;&gt;"Trade","",IF(P22=0,"Stop = Einstieg?",IF(I22="","Ergebnis eintragen",IF(AND(I22="Zeit",J22=""),"Kurs 11:30 fehlt",IF(OR(AND(M22="Short",H22&gt;F22),AND(M22="Long",H22&lt;G22)),"Einstieg prüfen","ok")))))</f>
        <v/>
      </c>
      <c r="Z22" s="16" t="n">
        <f aca="false">IF(A22="","",WEEKDAY(A22,2))</f>
        <v>4</v>
      </c>
    </row>
    <row r="23" customFormat="false" ht="15" hidden="false" customHeight="false" outlineLevel="0" collapsed="false">
      <c r="A23" s="8" t="n">
        <v>46311</v>
      </c>
      <c r="B23" s="9"/>
      <c r="C23" s="9"/>
      <c r="D23" s="9"/>
      <c r="E23" s="9"/>
      <c r="F23" s="9"/>
      <c r="G23" s="9"/>
      <c r="H23" s="9"/>
      <c r="I23" s="10"/>
      <c r="J23" s="9"/>
      <c r="K23" s="10"/>
      <c r="L23" s="11" t="str">
        <f aca="false">IF(OR(B23="",C23=""),"",(C23-B23)/B23)</f>
        <v/>
      </c>
      <c r="M23" s="12" t="str">
        <f aca="false">IF(L23="","",IF(ABS(L23)&lt;MinDrive,"kein Trade",IF(L23&gt;0,"Short","Long")))</f>
        <v/>
      </c>
      <c r="N23" s="12" t="str">
        <f aca="false">IF(OR(M23="",M23="kein Trade"),"",IF(H23="","kein Signal","Trade"))</f>
        <v/>
      </c>
      <c r="O23" s="13" t="str">
        <f aca="false">IF(N23&lt;&gt;"Trade","",IF(M23="Short",D23,E23))</f>
        <v/>
      </c>
      <c r="P23" s="13" t="str">
        <f aca="false">IF(N23&lt;&gt;"Trade","",ABS(H23-O23))</f>
        <v/>
      </c>
      <c r="Q23" s="13" t="str">
        <f aca="false">IF(N23&lt;&gt;"Trade","",H23+IF(M23="Long",1,-1)*ZielR*P23)</f>
        <v/>
      </c>
      <c r="R23" s="13" t="str">
        <f aca="false">IF(OR(N23&lt;&gt;"Trade",I23=""),"",IF(I23="Ziel",Q23,IF(I23="Stop",O23,IF(J23="","",J23))))</f>
        <v/>
      </c>
      <c r="S23" s="13" t="str">
        <f aca="false">IF(R23="","",(R23-H23)*IF(M23="Long",1,-1)-2*Slippage)</f>
        <v/>
      </c>
      <c r="T23" s="14" t="str">
        <f aca="false">IF(OR(S23="",P23=0),"",S23/P23)</f>
        <v/>
      </c>
      <c r="U23" s="15" t="str">
        <f aca="false">IF(S23="","",S23*Punktwert*Kontrakte-Kommission*Kontrakte)</f>
        <v/>
      </c>
      <c r="V23" s="15" t="str">
        <f aca="false">IF(U23="","",SUM($U$5:U23))</f>
        <v/>
      </c>
      <c r="W23" s="15" t="str">
        <f aca="false">IF(V23="","",MAX(0,MAX($V$5:V23)))</f>
        <v/>
      </c>
      <c r="X23" s="15" t="str">
        <f aca="false">IF(V23="","",V23-W23)</f>
        <v/>
      </c>
      <c r="Y23" s="12" t="str">
        <f aca="false">IF(N23&lt;&gt;"Trade","",IF(P23=0,"Stop = Einstieg?",IF(I23="","Ergebnis eintragen",IF(AND(I23="Zeit",J23=""),"Kurs 11:30 fehlt",IF(OR(AND(M23="Short",H23&gt;F23),AND(M23="Long",H23&lt;G23)),"Einstieg prüfen","ok")))))</f>
        <v/>
      </c>
      <c r="Z23" s="16" t="n">
        <f aca="false">IF(A23="","",WEEKDAY(A23,2))</f>
        <v>5</v>
      </c>
    </row>
    <row r="24" customFormat="false" ht="15" hidden="false" customHeight="false" outlineLevel="0" collapsed="false">
      <c r="A24" s="8" t="n">
        <v>46314</v>
      </c>
      <c r="B24" s="9"/>
      <c r="C24" s="9"/>
      <c r="D24" s="9"/>
      <c r="E24" s="9"/>
      <c r="F24" s="9"/>
      <c r="G24" s="9"/>
      <c r="H24" s="9"/>
      <c r="I24" s="10"/>
      <c r="J24" s="9"/>
      <c r="K24" s="10"/>
      <c r="L24" s="11" t="str">
        <f aca="false">IF(OR(B24="",C24=""),"",(C24-B24)/B24)</f>
        <v/>
      </c>
      <c r="M24" s="12" t="str">
        <f aca="false">IF(L24="","",IF(ABS(L24)&lt;MinDrive,"kein Trade",IF(L24&gt;0,"Short","Long")))</f>
        <v/>
      </c>
      <c r="N24" s="12" t="str">
        <f aca="false">IF(OR(M24="",M24="kein Trade"),"",IF(H24="","kein Signal","Trade"))</f>
        <v/>
      </c>
      <c r="O24" s="13" t="str">
        <f aca="false">IF(N24&lt;&gt;"Trade","",IF(M24="Short",D24,E24))</f>
        <v/>
      </c>
      <c r="P24" s="13" t="str">
        <f aca="false">IF(N24&lt;&gt;"Trade","",ABS(H24-O24))</f>
        <v/>
      </c>
      <c r="Q24" s="13" t="str">
        <f aca="false">IF(N24&lt;&gt;"Trade","",H24+IF(M24="Long",1,-1)*ZielR*P24)</f>
        <v/>
      </c>
      <c r="R24" s="13" t="str">
        <f aca="false">IF(OR(N24&lt;&gt;"Trade",I24=""),"",IF(I24="Ziel",Q24,IF(I24="Stop",O24,IF(J24="","",J24))))</f>
        <v/>
      </c>
      <c r="S24" s="13" t="str">
        <f aca="false">IF(R24="","",(R24-H24)*IF(M24="Long",1,-1)-2*Slippage)</f>
        <v/>
      </c>
      <c r="T24" s="14" t="str">
        <f aca="false">IF(OR(S24="",P24=0),"",S24/P24)</f>
        <v/>
      </c>
      <c r="U24" s="15" t="str">
        <f aca="false">IF(S24="","",S24*Punktwert*Kontrakte-Kommission*Kontrakte)</f>
        <v/>
      </c>
      <c r="V24" s="15" t="str">
        <f aca="false">IF(U24="","",SUM($U$5:U24))</f>
        <v/>
      </c>
      <c r="W24" s="15" t="str">
        <f aca="false">IF(V24="","",MAX(0,MAX($V$5:V24)))</f>
        <v/>
      </c>
      <c r="X24" s="15" t="str">
        <f aca="false">IF(V24="","",V24-W24)</f>
        <v/>
      </c>
      <c r="Y24" s="12" t="str">
        <f aca="false">IF(N24&lt;&gt;"Trade","",IF(P24=0,"Stop = Einstieg?",IF(I24="","Ergebnis eintragen",IF(AND(I24="Zeit",J24=""),"Kurs 11:30 fehlt",IF(OR(AND(M24="Short",H24&gt;F24),AND(M24="Long",H24&lt;G24)),"Einstieg prüfen","ok")))))</f>
        <v/>
      </c>
      <c r="Z24" s="16" t="n">
        <f aca="false">IF(A24="","",WEEKDAY(A24,2))</f>
        <v>1</v>
      </c>
    </row>
    <row r="25" customFormat="false" ht="15" hidden="false" customHeight="false" outlineLevel="0" collapsed="false">
      <c r="A25" s="8" t="n">
        <v>46315</v>
      </c>
      <c r="B25" s="9"/>
      <c r="C25" s="9"/>
      <c r="D25" s="9"/>
      <c r="E25" s="9"/>
      <c r="F25" s="9"/>
      <c r="G25" s="9"/>
      <c r="H25" s="9"/>
      <c r="I25" s="10"/>
      <c r="J25" s="9"/>
      <c r="K25" s="10"/>
      <c r="L25" s="11" t="str">
        <f aca="false">IF(OR(B25="",C25=""),"",(C25-B25)/B25)</f>
        <v/>
      </c>
      <c r="M25" s="12" t="str">
        <f aca="false">IF(L25="","",IF(ABS(L25)&lt;MinDrive,"kein Trade",IF(L25&gt;0,"Short","Long")))</f>
        <v/>
      </c>
      <c r="N25" s="12" t="str">
        <f aca="false">IF(OR(M25="",M25="kein Trade"),"",IF(H25="","kein Signal","Trade"))</f>
        <v/>
      </c>
      <c r="O25" s="13" t="str">
        <f aca="false">IF(N25&lt;&gt;"Trade","",IF(M25="Short",D25,E25))</f>
        <v/>
      </c>
      <c r="P25" s="13" t="str">
        <f aca="false">IF(N25&lt;&gt;"Trade","",ABS(H25-O25))</f>
        <v/>
      </c>
      <c r="Q25" s="13" t="str">
        <f aca="false">IF(N25&lt;&gt;"Trade","",H25+IF(M25="Long",1,-1)*ZielR*P25)</f>
        <v/>
      </c>
      <c r="R25" s="13" t="str">
        <f aca="false">IF(OR(N25&lt;&gt;"Trade",I25=""),"",IF(I25="Ziel",Q25,IF(I25="Stop",O25,IF(J25="","",J25))))</f>
        <v/>
      </c>
      <c r="S25" s="13" t="str">
        <f aca="false">IF(R25="","",(R25-H25)*IF(M25="Long",1,-1)-2*Slippage)</f>
        <v/>
      </c>
      <c r="T25" s="14" t="str">
        <f aca="false">IF(OR(S25="",P25=0),"",S25/P25)</f>
        <v/>
      </c>
      <c r="U25" s="15" t="str">
        <f aca="false">IF(S25="","",S25*Punktwert*Kontrakte-Kommission*Kontrakte)</f>
        <v/>
      </c>
      <c r="V25" s="15" t="str">
        <f aca="false">IF(U25="","",SUM($U$5:U25))</f>
        <v/>
      </c>
      <c r="W25" s="15" t="str">
        <f aca="false">IF(V25="","",MAX(0,MAX($V$5:V25)))</f>
        <v/>
      </c>
      <c r="X25" s="15" t="str">
        <f aca="false">IF(V25="","",V25-W25)</f>
        <v/>
      </c>
      <c r="Y25" s="12" t="str">
        <f aca="false">IF(N25&lt;&gt;"Trade","",IF(P25=0,"Stop = Einstieg?",IF(I25="","Ergebnis eintragen",IF(AND(I25="Zeit",J25=""),"Kurs 11:30 fehlt",IF(OR(AND(M25="Short",H25&gt;F25),AND(M25="Long",H25&lt;G25)),"Einstieg prüfen","ok")))))</f>
        <v/>
      </c>
      <c r="Z25" s="16" t="n">
        <f aca="false">IF(A25="","",WEEKDAY(A25,2))</f>
        <v>2</v>
      </c>
    </row>
    <row r="26" customFormat="false" ht="15" hidden="false" customHeight="false" outlineLevel="0" collapsed="false">
      <c r="A26" s="8" t="n">
        <v>46316</v>
      </c>
      <c r="B26" s="9"/>
      <c r="C26" s="9"/>
      <c r="D26" s="9"/>
      <c r="E26" s="9"/>
      <c r="F26" s="9"/>
      <c r="G26" s="9"/>
      <c r="H26" s="9"/>
      <c r="I26" s="10"/>
      <c r="J26" s="9"/>
      <c r="K26" s="10"/>
      <c r="L26" s="11" t="str">
        <f aca="false">IF(OR(B26="",C26=""),"",(C26-B26)/B26)</f>
        <v/>
      </c>
      <c r="M26" s="12" t="str">
        <f aca="false">IF(L26="","",IF(ABS(L26)&lt;MinDrive,"kein Trade",IF(L26&gt;0,"Short","Long")))</f>
        <v/>
      </c>
      <c r="N26" s="12" t="str">
        <f aca="false">IF(OR(M26="",M26="kein Trade"),"",IF(H26="","kein Signal","Trade"))</f>
        <v/>
      </c>
      <c r="O26" s="13" t="str">
        <f aca="false">IF(N26&lt;&gt;"Trade","",IF(M26="Short",D26,E26))</f>
        <v/>
      </c>
      <c r="P26" s="13" t="str">
        <f aca="false">IF(N26&lt;&gt;"Trade","",ABS(H26-O26))</f>
        <v/>
      </c>
      <c r="Q26" s="13" t="str">
        <f aca="false">IF(N26&lt;&gt;"Trade","",H26+IF(M26="Long",1,-1)*ZielR*P26)</f>
        <v/>
      </c>
      <c r="R26" s="13" t="str">
        <f aca="false">IF(OR(N26&lt;&gt;"Trade",I26=""),"",IF(I26="Ziel",Q26,IF(I26="Stop",O26,IF(J26="","",J26))))</f>
        <v/>
      </c>
      <c r="S26" s="13" t="str">
        <f aca="false">IF(R26="","",(R26-H26)*IF(M26="Long",1,-1)-2*Slippage)</f>
        <v/>
      </c>
      <c r="T26" s="14" t="str">
        <f aca="false">IF(OR(S26="",P26=0),"",S26/P26)</f>
        <v/>
      </c>
      <c r="U26" s="15" t="str">
        <f aca="false">IF(S26="","",S26*Punktwert*Kontrakte-Kommission*Kontrakte)</f>
        <v/>
      </c>
      <c r="V26" s="15" t="str">
        <f aca="false">IF(U26="","",SUM($U$5:U26))</f>
        <v/>
      </c>
      <c r="W26" s="15" t="str">
        <f aca="false">IF(V26="","",MAX(0,MAX($V$5:V26)))</f>
        <v/>
      </c>
      <c r="X26" s="15" t="str">
        <f aca="false">IF(V26="","",V26-W26)</f>
        <v/>
      </c>
      <c r="Y26" s="12" t="str">
        <f aca="false">IF(N26&lt;&gt;"Trade","",IF(P26=0,"Stop = Einstieg?",IF(I26="","Ergebnis eintragen",IF(AND(I26="Zeit",J26=""),"Kurs 11:30 fehlt",IF(OR(AND(M26="Short",H26&gt;F26),AND(M26="Long",H26&lt;G26)),"Einstieg prüfen","ok")))))</f>
        <v/>
      </c>
      <c r="Z26" s="16" t="n">
        <f aca="false">IF(A26="","",WEEKDAY(A26,2))</f>
        <v>3</v>
      </c>
    </row>
    <row r="27" customFormat="false" ht="15" hidden="false" customHeight="false" outlineLevel="0" collapsed="false">
      <c r="A27" s="8"/>
      <c r="B27" s="9"/>
      <c r="C27" s="9"/>
      <c r="D27" s="9"/>
      <c r="E27" s="9"/>
      <c r="F27" s="9"/>
      <c r="G27" s="9"/>
      <c r="H27" s="9"/>
      <c r="I27" s="10"/>
      <c r="J27" s="9"/>
      <c r="K27" s="10"/>
      <c r="L27" s="11" t="str">
        <f aca="false">IF(OR(B27="",C27=""),"",(C27-B27)/B27)</f>
        <v/>
      </c>
      <c r="M27" s="12" t="str">
        <f aca="false">IF(L27="","",IF(ABS(L27)&lt;MinDrive,"kein Trade",IF(L27&gt;0,"Short","Long")))</f>
        <v/>
      </c>
      <c r="N27" s="12" t="str">
        <f aca="false">IF(OR(M27="",M27="kein Trade"),"",IF(H27="","kein Signal","Trade"))</f>
        <v/>
      </c>
      <c r="O27" s="13" t="str">
        <f aca="false">IF(N27&lt;&gt;"Trade","",IF(M27="Short",D27,E27))</f>
        <v/>
      </c>
      <c r="P27" s="13" t="str">
        <f aca="false">IF(N27&lt;&gt;"Trade","",ABS(H27-O27))</f>
        <v/>
      </c>
      <c r="Q27" s="13" t="str">
        <f aca="false">IF(N27&lt;&gt;"Trade","",H27+IF(M27="Long",1,-1)*ZielR*P27)</f>
        <v/>
      </c>
      <c r="R27" s="13" t="str">
        <f aca="false">IF(OR(N27&lt;&gt;"Trade",I27=""),"",IF(I27="Ziel",Q27,IF(I27="Stop",O27,IF(J27="","",J27))))</f>
        <v/>
      </c>
      <c r="S27" s="13" t="str">
        <f aca="false">IF(R27="","",(R27-H27)*IF(M27="Long",1,-1)-2*Slippage)</f>
        <v/>
      </c>
      <c r="T27" s="14" t="str">
        <f aca="false">IF(OR(S27="",P27=0),"",S27/P27)</f>
        <v/>
      </c>
      <c r="U27" s="15" t="str">
        <f aca="false">IF(S27="","",S27*Punktwert*Kontrakte-Kommission*Kontrakte)</f>
        <v/>
      </c>
      <c r="V27" s="15" t="str">
        <f aca="false">IF(U27="","",SUM($U$5:U27))</f>
        <v/>
      </c>
      <c r="W27" s="15" t="str">
        <f aca="false">IF(V27="","",MAX(0,MAX($V$5:V27)))</f>
        <v/>
      </c>
      <c r="X27" s="15" t="str">
        <f aca="false">IF(V27="","",V27-W27)</f>
        <v/>
      </c>
      <c r="Y27" s="12" t="str">
        <f aca="false">IF(N27&lt;&gt;"Trade","",IF(P27=0,"Stop = Einstieg?",IF(I27="","Ergebnis eintragen",IF(AND(I27="Zeit",J27=""),"Kurs 11:30 fehlt",IF(OR(AND(M27="Short",H27&gt;F27),AND(M27="Long",H27&lt;G27)),"Einstieg prüfen","ok")))))</f>
        <v/>
      </c>
      <c r="Z27" s="16" t="str">
        <f aca="false">IF(A27="","",WEEKDAY(A27,2))</f>
        <v/>
      </c>
    </row>
    <row r="28" customFormat="false" ht="15" hidden="false" customHeight="false" outlineLevel="0" collapsed="false">
      <c r="A28" s="8"/>
      <c r="B28" s="9"/>
      <c r="C28" s="9"/>
      <c r="D28" s="9"/>
      <c r="E28" s="9"/>
      <c r="F28" s="9"/>
      <c r="G28" s="9"/>
      <c r="H28" s="9"/>
      <c r="I28" s="10"/>
      <c r="J28" s="9"/>
      <c r="K28" s="10"/>
      <c r="L28" s="11" t="str">
        <f aca="false">IF(OR(B28="",C28=""),"",(C28-B28)/B28)</f>
        <v/>
      </c>
      <c r="M28" s="12" t="str">
        <f aca="false">IF(L28="","",IF(ABS(L28)&lt;MinDrive,"kein Trade",IF(L28&gt;0,"Short","Long")))</f>
        <v/>
      </c>
      <c r="N28" s="12" t="str">
        <f aca="false">IF(OR(M28="",M28="kein Trade"),"",IF(H28="","kein Signal","Trade"))</f>
        <v/>
      </c>
      <c r="O28" s="13" t="str">
        <f aca="false">IF(N28&lt;&gt;"Trade","",IF(M28="Short",D28,E28))</f>
        <v/>
      </c>
      <c r="P28" s="13" t="str">
        <f aca="false">IF(N28&lt;&gt;"Trade","",ABS(H28-O28))</f>
        <v/>
      </c>
      <c r="Q28" s="13" t="str">
        <f aca="false">IF(N28&lt;&gt;"Trade","",H28+IF(M28="Long",1,-1)*ZielR*P28)</f>
        <v/>
      </c>
      <c r="R28" s="13" t="str">
        <f aca="false">IF(OR(N28&lt;&gt;"Trade",I28=""),"",IF(I28="Ziel",Q28,IF(I28="Stop",O28,IF(J28="","",J28))))</f>
        <v/>
      </c>
      <c r="S28" s="13" t="str">
        <f aca="false">IF(R28="","",(R28-H28)*IF(M28="Long",1,-1)-2*Slippage)</f>
        <v/>
      </c>
      <c r="T28" s="14" t="str">
        <f aca="false">IF(OR(S28="",P28=0),"",S28/P28)</f>
        <v/>
      </c>
      <c r="U28" s="15" t="str">
        <f aca="false">IF(S28="","",S28*Punktwert*Kontrakte-Kommission*Kontrakte)</f>
        <v/>
      </c>
      <c r="V28" s="15" t="str">
        <f aca="false">IF(U28="","",SUM($U$5:U28))</f>
        <v/>
      </c>
      <c r="W28" s="15" t="str">
        <f aca="false">IF(V28="","",MAX(0,MAX($V$5:V28)))</f>
        <v/>
      </c>
      <c r="X28" s="15" t="str">
        <f aca="false">IF(V28="","",V28-W28)</f>
        <v/>
      </c>
      <c r="Y28" s="12" t="str">
        <f aca="false">IF(N28&lt;&gt;"Trade","",IF(P28=0,"Stop = Einstieg?",IF(I28="","Ergebnis eintragen",IF(AND(I28="Zeit",J28=""),"Kurs 11:30 fehlt",IF(OR(AND(M28="Short",H28&gt;F28),AND(M28="Long",H28&lt;G28)),"Einstieg prüfen","ok")))))</f>
        <v/>
      </c>
      <c r="Z28" s="16" t="str">
        <f aca="false">IF(A28="","",WEEKDAY(A28,2))</f>
        <v/>
      </c>
    </row>
    <row r="29" customFormat="false" ht="15" hidden="false" customHeight="false" outlineLevel="0" collapsed="false">
      <c r="A29" s="8"/>
      <c r="B29" s="9"/>
      <c r="C29" s="9"/>
      <c r="D29" s="9"/>
      <c r="E29" s="9"/>
      <c r="F29" s="9"/>
      <c r="G29" s="9"/>
      <c r="H29" s="9"/>
      <c r="I29" s="10"/>
      <c r="J29" s="9"/>
      <c r="K29" s="10"/>
      <c r="L29" s="11" t="str">
        <f aca="false">IF(OR(B29="",C29=""),"",(C29-B29)/B29)</f>
        <v/>
      </c>
      <c r="M29" s="12" t="str">
        <f aca="false">IF(L29="","",IF(ABS(L29)&lt;MinDrive,"kein Trade",IF(L29&gt;0,"Short","Long")))</f>
        <v/>
      </c>
      <c r="N29" s="12" t="str">
        <f aca="false">IF(OR(M29="",M29="kein Trade"),"",IF(H29="","kein Signal","Trade"))</f>
        <v/>
      </c>
      <c r="O29" s="13" t="str">
        <f aca="false">IF(N29&lt;&gt;"Trade","",IF(M29="Short",D29,E29))</f>
        <v/>
      </c>
      <c r="P29" s="13" t="str">
        <f aca="false">IF(N29&lt;&gt;"Trade","",ABS(H29-O29))</f>
        <v/>
      </c>
      <c r="Q29" s="13" t="str">
        <f aca="false">IF(N29&lt;&gt;"Trade","",H29+IF(M29="Long",1,-1)*ZielR*P29)</f>
        <v/>
      </c>
      <c r="R29" s="13" t="str">
        <f aca="false">IF(OR(N29&lt;&gt;"Trade",I29=""),"",IF(I29="Ziel",Q29,IF(I29="Stop",O29,IF(J29="","",J29))))</f>
        <v/>
      </c>
      <c r="S29" s="13" t="str">
        <f aca="false">IF(R29="","",(R29-H29)*IF(M29="Long",1,-1)-2*Slippage)</f>
        <v/>
      </c>
      <c r="T29" s="14" t="str">
        <f aca="false">IF(OR(S29="",P29=0),"",S29/P29)</f>
        <v/>
      </c>
      <c r="U29" s="15" t="str">
        <f aca="false">IF(S29="","",S29*Punktwert*Kontrakte-Kommission*Kontrakte)</f>
        <v/>
      </c>
      <c r="V29" s="15" t="str">
        <f aca="false">IF(U29="","",SUM($U$5:U29))</f>
        <v/>
      </c>
      <c r="W29" s="15" t="str">
        <f aca="false">IF(V29="","",MAX(0,MAX($V$5:V29)))</f>
        <v/>
      </c>
      <c r="X29" s="15" t="str">
        <f aca="false">IF(V29="","",V29-W29)</f>
        <v/>
      </c>
      <c r="Y29" s="12" t="str">
        <f aca="false">IF(N29&lt;&gt;"Trade","",IF(P29=0,"Stop = Einstieg?",IF(I29="","Ergebnis eintragen",IF(AND(I29="Zeit",J29=""),"Kurs 11:30 fehlt",IF(OR(AND(M29="Short",H29&gt;F29),AND(M29="Long",H29&lt;G29)),"Einstieg prüfen","ok")))))</f>
        <v/>
      </c>
      <c r="Z29" s="16" t="str">
        <f aca="false">IF(A29="","",WEEKDAY(A29,2))</f>
        <v/>
      </c>
    </row>
    <row r="30" customFormat="false" ht="15" hidden="false" customHeight="false" outlineLevel="0" collapsed="false">
      <c r="A30" s="8"/>
      <c r="B30" s="9"/>
      <c r="C30" s="9"/>
      <c r="D30" s="9"/>
      <c r="E30" s="9"/>
      <c r="F30" s="9"/>
      <c r="G30" s="9"/>
      <c r="H30" s="9"/>
      <c r="I30" s="10"/>
      <c r="J30" s="9"/>
      <c r="K30" s="10"/>
      <c r="L30" s="11" t="str">
        <f aca="false">IF(OR(B30="",C30=""),"",(C30-B30)/B30)</f>
        <v/>
      </c>
      <c r="M30" s="12" t="str">
        <f aca="false">IF(L30="","",IF(ABS(L30)&lt;MinDrive,"kein Trade",IF(L30&gt;0,"Short","Long")))</f>
        <v/>
      </c>
      <c r="N30" s="12" t="str">
        <f aca="false">IF(OR(M30="",M30="kein Trade"),"",IF(H30="","kein Signal","Trade"))</f>
        <v/>
      </c>
      <c r="O30" s="13" t="str">
        <f aca="false">IF(N30&lt;&gt;"Trade","",IF(M30="Short",D30,E30))</f>
        <v/>
      </c>
      <c r="P30" s="13" t="str">
        <f aca="false">IF(N30&lt;&gt;"Trade","",ABS(H30-O30))</f>
        <v/>
      </c>
      <c r="Q30" s="13" t="str">
        <f aca="false">IF(N30&lt;&gt;"Trade","",H30+IF(M30="Long",1,-1)*ZielR*P30)</f>
        <v/>
      </c>
      <c r="R30" s="13" t="str">
        <f aca="false">IF(OR(N30&lt;&gt;"Trade",I30=""),"",IF(I30="Ziel",Q30,IF(I30="Stop",O30,IF(J30="","",J30))))</f>
        <v/>
      </c>
      <c r="S30" s="13" t="str">
        <f aca="false">IF(R30="","",(R30-H30)*IF(M30="Long",1,-1)-2*Slippage)</f>
        <v/>
      </c>
      <c r="T30" s="14" t="str">
        <f aca="false">IF(OR(S30="",P30=0),"",S30/P30)</f>
        <v/>
      </c>
      <c r="U30" s="15" t="str">
        <f aca="false">IF(S30="","",S30*Punktwert*Kontrakte-Kommission*Kontrakte)</f>
        <v/>
      </c>
      <c r="V30" s="15" t="str">
        <f aca="false">IF(U30="","",SUM($U$5:U30))</f>
        <v/>
      </c>
      <c r="W30" s="15" t="str">
        <f aca="false">IF(V30="","",MAX(0,MAX($V$5:V30)))</f>
        <v/>
      </c>
      <c r="X30" s="15" t="str">
        <f aca="false">IF(V30="","",V30-W30)</f>
        <v/>
      </c>
      <c r="Y30" s="12" t="str">
        <f aca="false">IF(N30&lt;&gt;"Trade","",IF(P30=0,"Stop = Einstieg?",IF(I30="","Ergebnis eintragen",IF(AND(I30="Zeit",J30=""),"Kurs 11:30 fehlt",IF(OR(AND(M30="Short",H30&gt;F30),AND(M30="Long",H30&lt;G30)),"Einstieg prüfen","ok")))))</f>
        <v/>
      </c>
      <c r="Z30" s="16" t="str">
        <f aca="false">IF(A30="","",WEEKDAY(A30,2))</f>
        <v/>
      </c>
    </row>
    <row r="31" customFormat="false" ht="15" hidden="false" customHeight="false" outlineLevel="0" collapsed="false">
      <c r="A31" s="8"/>
      <c r="B31" s="9"/>
      <c r="C31" s="9"/>
      <c r="D31" s="9"/>
      <c r="E31" s="9"/>
      <c r="F31" s="9"/>
      <c r="G31" s="9"/>
      <c r="H31" s="9"/>
      <c r="I31" s="10"/>
      <c r="J31" s="9"/>
      <c r="K31" s="10"/>
      <c r="L31" s="11" t="str">
        <f aca="false">IF(OR(B31="",C31=""),"",(C31-B31)/B31)</f>
        <v/>
      </c>
      <c r="M31" s="12" t="str">
        <f aca="false">IF(L31="","",IF(ABS(L31)&lt;MinDrive,"kein Trade",IF(L31&gt;0,"Short","Long")))</f>
        <v/>
      </c>
      <c r="N31" s="12" t="str">
        <f aca="false">IF(OR(M31="",M31="kein Trade"),"",IF(H31="","kein Signal","Trade"))</f>
        <v/>
      </c>
      <c r="O31" s="13" t="str">
        <f aca="false">IF(N31&lt;&gt;"Trade","",IF(M31="Short",D31,E31))</f>
        <v/>
      </c>
      <c r="P31" s="13" t="str">
        <f aca="false">IF(N31&lt;&gt;"Trade","",ABS(H31-O31))</f>
        <v/>
      </c>
      <c r="Q31" s="13" t="str">
        <f aca="false">IF(N31&lt;&gt;"Trade","",H31+IF(M31="Long",1,-1)*ZielR*P31)</f>
        <v/>
      </c>
      <c r="R31" s="13" t="str">
        <f aca="false">IF(OR(N31&lt;&gt;"Trade",I31=""),"",IF(I31="Ziel",Q31,IF(I31="Stop",O31,IF(J31="","",J31))))</f>
        <v/>
      </c>
      <c r="S31" s="13" t="str">
        <f aca="false">IF(R31="","",(R31-H31)*IF(M31="Long",1,-1)-2*Slippage)</f>
        <v/>
      </c>
      <c r="T31" s="14" t="str">
        <f aca="false">IF(OR(S31="",P31=0),"",S31/P31)</f>
        <v/>
      </c>
      <c r="U31" s="15" t="str">
        <f aca="false">IF(S31="","",S31*Punktwert*Kontrakte-Kommission*Kontrakte)</f>
        <v/>
      </c>
      <c r="V31" s="15" t="str">
        <f aca="false">IF(U31="","",SUM($U$5:U31))</f>
        <v/>
      </c>
      <c r="W31" s="15" t="str">
        <f aca="false">IF(V31="","",MAX(0,MAX($V$5:V31)))</f>
        <v/>
      </c>
      <c r="X31" s="15" t="str">
        <f aca="false">IF(V31="","",V31-W31)</f>
        <v/>
      </c>
      <c r="Y31" s="12" t="str">
        <f aca="false">IF(N31&lt;&gt;"Trade","",IF(P31=0,"Stop = Einstieg?",IF(I31="","Ergebnis eintragen",IF(AND(I31="Zeit",J31=""),"Kurs 11:30 fehlt",IF(OR(AND(M31="Short",H31&gt;F31),AND(M31="Long",H31&lt;G31)),"Einstieg prüfen","ok")))))</f>
        <v/>
      </c>
      <c r="Z31" s="16" t="str">
        <f aca="false">IF(A31="","",WEEKDAY(A31,2))</f>
        <v/>
      </c>
    </row>
    <row r="32" customFormat="false" ht="15" hidden="false" customHeight="false" outlineLevel="0" collapsed="false">
      <c r="A32" s="8"/>
      <c r="B32" s="9"/>
      <c r="C32" s="9"/>
      <c r="D32" s="9"/>
      <c r="E32" s="9"/>
      <c r="F32" s="9"/>
      <c r="G32" s="9"/>
      <c r="H32" s="9"/>
      <c r="I32" s="10"/>
      <c r="J32" s="9"/>
      <c r="K32" s="10"/>
      <c r="L32" s="11" t="str">
        <f aca="false">IF(OR(B32="",C32=""),"",(C32-B32)/B32)</f>
        <v/>
      </c>
      <c r="M32" s="12" t="str">
        <f aca="false">IF(L32="","",IF(ABS(L32)&lt;MinDrive,"kein Trade",IF(L32&gt;0,"Short","Long")))</f>
        <v/>
      </c>
      <c r="N32" s="12" t="str">
        <f aca="false">IF(OR(M32="",M32="kein Trade"),"",IF(H32="","kein Signal","Trade"))</f>
        <v/>
      </c>
      <c r="O32" s="13" t="str">
        <f aca="false">IF(N32&lt;&gt;"Trade","",IF(M32="Short",D32,E32))</f>
        <v/>
      </c>
      <c r="P32" s="13" t="str">
        <f aca="false">IF(N32&lt;&gt;"Trade","",ABS(H32-O32))</f>
        <v/>
      </c>
      <c r="Q32" s="13" t="str">
        <f aca="false">IF(N32&lt;&gt;"Trade","",H32+IF(M32="Long",1,-1)*ZielR*P32)</f>
        <v/>
      </c>
      <c r="R32" s="13" t="str">
        <f aca="false">IF(OR(N32&lt;&gt;"Trade",I32=""),"",IF(I32="Ziel",Q32,IF(I32="Stop",O32,IF(J32="","",J32))))</f>
        <v/>
      </c>
      <c r="S32" s="13" t="str">
        <f aca="false">IF(R32="","",(R32-H32)*IF(M32="Long",1,-1)-2*Slippage)</f>
        <v/>
      </c>
      <c r="T32" s="14" t="str">
        <f aca="false">IF(OR(S32="",P32=0),"",S32/P32)</f>
        <v/>
      </c>
      <c r="U32" s="15" t="str">
        <f aca="false">IF(S32="","",S32*Punktwert*Kontrakte-Kommission*Kontrakte)</f>
        <v/>
      </c>
      <c r="V32" s="15" t="str">
        <f aca="false">IF(U32="","",SUM($U$5:U32))</f>
        <v/>
      </c>
      <c r="W32" s="15" t="str">
        <f aca="false">IF(V32="","",MAX(0,MAX($V$5:V32)))</f>
        <v/>
      </c>
      <c r="X32" s="15" t="str">
        <f aca="false">IF(V32="","",V32-W32)</f>
        <v/>
      </c>
      <c r="Y32" s="12" t="str">
        <f aca="false">IF(N32&lt;&gt;"Trade","",IF(P32=0,"Stop = Einstieg?",IF(I32="","Ergebnis eintragen",IF(AND(I32="Zeit",J32=""),"Kurs 11:30 fehlt",IF(OR(AND(M32="Short",H32&gt;F32),AND(M32="Long",H32&lt;G32)),"Einstieg prüfen","ok")))))</f>
        <v/>
      </c>
      <c r="Z32" s="16" t="str">
        <f aca="false">IF(A32="","",WEEKDAY(A32,2))</f>
        <v/>
      </c>
    </row>
    <row r="33" customFormat="false" ht="15" hidden="false" customHeight="false" outlineLevel="0" collapsed="false">
      <c r="A33" s="8"/>
      <c r="B33" s="9"/>
      <c r="C33" s="9"/>
      <c r="D33" s="9"/>
      <c r="E33" s="9"/>
      <c r="F33" s="9"/>
      <c r="G33" s="9"/>
      <c r="H33" s="9"/>
      <c r="I33" s="10"/>
      <c r="J33" s="9"/>
      <c r="K33" s="10"/>
      <c r="L33" s="11" t="str">
        <f aca="false">IF(OR(B33="",C33=""),"",(C33-B33)/B33)</f>
        <v/>
      </c>
      <c r="M33" s="12" t="str">
        <f aca="false">IF(L33="","",IF(ABS(L33)&lt;MinDrive,"kein Trade",IF(L33&gt;0,"Short","Long")))</f>
        <v/>
      </c>
      <c r="N33" s="12" t="str">
        <f aca="false">IF(OR(M33="",M33="kein Trade"),"",IF(H33="","kein Signal","Trade"))</f>
        <v/>
      </c>
      <c r="O33" s="13" t="str">
        <f aca="false">IF(N33&lt;&gt;"Trade","",IF(M33="Short",D33,E33))</f>
        <v/>
      </c>
      <c r="P33" s="13" t="str">
        <f aca="false">IF(N33&lt;&gt;"Trade","",ABS(H33-O33))</f>
        <v/>
      </c>
      <c r="Q33" s="13" t="str">
        <f aca="false">IF(N33&lt;&gt;"Trade","",H33+IF(M33="Long",1,-1)*ZielR*P33)</f>
        <v/>
      </c>
      <c r="R33" s="13" t="str">
        <f aca="false">IF(OR(N33&lt;&gt;"Trade",I33=""),"",IF(I33="Ziel",Q33,IF(I33="Stop",O33,IF(J33="","",J33))))</f>
        <v/>
      </c>
      <c r="S33" s="13" t="str">
        <f aca="false">IF(R33="","",(R33-H33)*IF(M33="Long",1,-1)-2*Slippage)</f>
        <v/>
      </c>
      <c r="T33" s="14" t="str">
        <f aca="false">IF(OR(S33="",P33=0),"",S33/P33)</f>
        <v/>
      </c>
      <c r="U33" s="15" t="str">
        <f aca="false">IF(S33="","",S33*Punktwert*Kontrakte-Kommission*Kontrakte)</f>
        <v/>
      </c>
      <c r="V33" s="15" t="str">
        <f aca="false">IF(U33="","",SUM($U$5:U33))</f>
        <v/>
      </c>
      <c r="W33" s="15" t="str">
        <f aca="false">IF(V33="","",MAX(0,MAX($V$5:V33)))</f>
        <v/>
      </c>
      <c r="X33" s="15" t="str">
        <f aca="false">IF(V33="","",V33-W33)</f>
        <v/>
      </c>
      <c r="Y33" s="12" t="str">
        <f aca="false">IF(N33&lt;&gt;"Trade","",IF(P33=0,"Stop = Einstieg?",IF(I33="","Ergebnis eintragen",IF(AND(I33="Zeit",J33=""),"Kurs 11:30 fehlt",IF(OR(AND(M33="Short",H33&gt;F33),AND(M33="Long",H33&lt;G33)),"Einstieg prüfen","ok")))))</f>
        <v/>
      </c>
      <c r="Z33" s="16" t="str">
        <f aca="false">IF(A33="","",WEEKDAY(A33,2))</f>
        <v/>
      </c>
    </row>
    <row r="34" customFormat="false" ht="15" hidden="false" customHeight="false" outlineLevel="0" collapsed="false">
      <c r="A34" s="8"/>
      <c r="B34" s="9"/>
      <c r="C34" s="9"/>
      <c r="D34" s="9"/>
      <c r="E34" s="9"/>
      <c r="F34" s="9"/>
      <c r="G34" s="9"/>
      <c r="H34" s="9"/>
      <c r="I34" s="10"/>
      <c r="J34" s="9"/>
      <c r="K34" s="10"/>
      <c r="L34" s="11" t="str">
        <f aca="false">IF(OR(B34="",C34=""),"",(C34-B34)/B34)</f>
        <v/>
      </c>
      <c r="M34" s="12" t="str">
        <f aca="false">IF(L34="","",IF(ABS(L34)&lt;MinDrive,"kein Trade",IF(L34&gt;0,"Short","Long")))</f>
        <v/>
      </c>
      <c r="N34" s="12" t="str">
        <f aca="false">IF(OR(M34="",M34="kein Trade"),"",IF(H34="","kein Signal","Trade"))</f>
        <v/>
      </c>
      <c r="O34" s="13" t="str">
        <f aca="false">IF(N34&lt;&gt;"Trade","",IF(M34="Short",D34,E34))</f>
        <v/>
      </c>
      <c r="P34" s="13" t="str">
        <f aca="false">IF(N34&lt;&gt;"Trade","",ABS(H34-O34))</f>
        <v/>
      </c>
      <c r="Q34" s="13" t="str">
        <f aca="false">IF(N34&lt;&gt;"Trade","",H34+IF(M34="Long",1,-1)*ZielR*P34)</f>
        <v/>
      </c>
      <c r="R34" s="13" t="str">
        <f aca="false">IF(OR(N34&lt;&gt;"Trade",I34=""),"",IF(I34="Ziel",Q34,IF(I34="Stop",O34,IF(J34="","",J34))))</f>
        <v/>
      </c>
      <c r="S34" s="13" t="str">
        <f aca="false">IF(R34="","",(R34-H34)*IF(M34="Long",1,-1)-2*Slippage)</f>
        <v/>
      </c>
      <c r="T34" s="14" t="str">
        <f aca="false">IF(OR(S34="",P34=0),"",S34/P34)</f>
        <v/>
      </c>
      <c r="U34" s="15" t="str">
        <f aca="false">IF(S34="","",S34*Punktwert*Kontrakte-Kommission*Kontrakte)</f>
        <v/>
      </c>
      <c r="V34" s="15" t="str">
        <f aca="false">IF(U34="","",SUM($U$5:U34))</f>
        <v/>
      </c>
      <c r="W34" s="15" t="str">
        <f aca="false">IF(V34="","",MAX(0,MAX($V$5:V34)))</f>
        <v/>
      </c>
      <c r="X34" s="15" t="str">
        <f aca="false">IF(V34="","",V34-W34)</f>
        <v/>
      </c>
      <c r="Y34" s="12" t="str">
        <f aca="false">IF(N34&lt;&gt;"Trade","",IF(P34=0,"Stop = Einstieg?",IF(I34="","Ergebnis eintragen",IF(AND(I34="Zeit",J34=""),"Kurs 11:30 fehlt",IF(OR(AND(M34="Short",H34&gt;F34),AND(M34="Long",H34&lt;G34)),"Einstieg prüfen","ok")))))</f>
        <v/>
      </c>
      <c r="Z34" s="16" t="str">
        <f aca="false">IF(A34="","",WEEKDAY(A34,2))</f>
        <v/>
      </c>
    </row>
    <row r="35" customFormat="false" ht="15" hidden="false" customHeight="false" outlineLevel="0" collapsed="false">
      <c r="A35" s="8"/>
      <c r="B35" s="9"/>
      <c r="C35" s="9"/>
      <c r="D35" s="9"/>
      <c r="E35" s="9"/>
      <c r="F35" s="9"/>
      <c r="G35" s="9"/>
      <c r="H35" s="9"/>
      <c r="I35" s="10"/>
      <c r="J35" s="9"/>
      <c r="K35" s="10"/>
      <c r="L35" s="11" t="str">
        <f aca="false">IF(OR(B35="",C35=""),"",(C35-B35)/B35)</f>
        <v/>
      </c>
      <c r="M35" s="12" t="str">
        <f aca="false">IF(L35="","",IF(ABS(L35)&lt;MinDrive,"kein Trade",IF(L35&gt;0,"Short","Long")))</f>
        <v/>
      </c>
      <c r="N35" s="12" t="str">
        <f aca="false">IF(OR(M35="",M35="kein Trade"),"",IF(H35="","kein Signal","Trade"))</f>
        <v/>
      </c>
      <c r="O35" s="13" t="str">
        <f aca="false">IF(N35&lt;&gt;"Trade","",IF(M35="Short",D35,E35))</f>
        <v/>
      </c>
      <c r="P35" s="13" t="str">
        <f aca="false">IF(N35&lt;&gt;"Trade","",ABS(H35-O35))</f>
        <v/>
      </c>
      <c r="Q35" s="13" t="str">
        <f aca="false">IF(N35&lt;&gt;"Trade","",H35+IF(M35="Long",1,-1)*ZielR*P35)</f>
        <v/>
      </c>
      <c r="R35" s="13" t="str">
        <f aca="false">IF(OR(N35&lt;&gt;"Trade",I35=""),"",IF(I35="Ziel",Q35,IF(I35="Stop",O35,IF(J35="","",J35))))</f>
        <v/>
      </c>
      <c r="S35" s="13" t="str">
        <f aca="false">IF(R35="","",(R35-H35)*IF(M35="Long",1,-1)-2*Slippage)</f>
        <v/>
      </c>
      <c r="T35" s="14" t="str">
        <f aca="false">IF(OR(S35="",P35=0),"",S35/P35)</f>
        <v/>
      </c>
      <c r="U35" s="15" t="str">
        <f aca="false">IF(S35="","",S35*Punktwert*Kontrakte-Kommission*Kontrakte)</f>
        <v/>
      </c>
      <c r="V35" s="15" t="str">
        <f aca="false">IF(U35="","",SUM($U$5:U35))</f>
        <v/>
      </c>
      <c r="W35" s="15" t="str">
        <f aca="false">IF(V35="","",MAX(0,MAX($V$5:V35)))</f>
        <v/>
      </c>
      <c r="X35" s="15" t="str">
        <f aca="false">IF(V35="","",V35-W35)</f>
        <v/>
      </c>
      <c r="Y35" s="12" t="str">
        <f aca="false">IF(N35&lt;&gt;"Trade","",IF(P35=0,"Stop = Einstieg?",IF(I35="","Ergebnis eintragen",IF(AND(I35="Zeit",J35=""),"Kurs 11:30 fehlt",IF(OR(AND(M35="Short",H35&gt;F35),AND(M35="Long",H35&lt;G35)),"Einstieg prüfen","ok")))))</f>
        <v/>
      </c>
      <c r="Z35" s="16" t="str">
        <f aca="false">IF(A35="","",WEEKDAY(A35,2))</f>
        <v/>
      </c>
    </row>
    <row r="36" customFormat="false" ht="15" hidden="false" customHeight="false" outlineLevel="0" collapsed="false">
      <c r="A36" s="8"/>
      <c r="B36" s="9"/>
      <c r="C36" s="9"/>
      <c r="D36" s="9"/>
      <c r="E36" s="9"/>
      <c r="F36" s="9"/>
      <c r="G36" s="9"/>
      <c r="H36" s="9"/>
      <c r="I36" s="10"/>
      <c r="J36" s="9"/>
      <c r="K36" s="10"/>
      <c r="L36" s="11" t="str">
        <f aca="false">IF(OR(B36="",C36=""),"",(C36-B36)/B36)</f>
        <v/>
      </c>
      <c r="M36" s="12" t="str">
        <f aca="false">IF(L36="","",IF(ABS(L36)&lt;MinDrive,"kein Trade",IF(L36&gt;0,"Short","Long")))</f>
        <v/>
      </c>
      <c r="N36" s="12" t="str">
        <f aca="false">IF(OR(M36="",M36="kein Trade"),"",IF(H36="","kein Signal","Trade"))</f>
        <v/>
      </c>
      <c r="O36" s="13" t="str">
        <f aca="false">IF(N36&lt;&gt;"Trade","",IF(M36="Short",D36,E36))</f>
        <v/>
      </c>
      <c r="P36" s="13" t="str">
        <f aca="false">IF(N36&lt;&gt;"Trade","",ABS(H36-O36))</f>
        <v/>
      </c>
      <c r="Q36" s="13" t="str">
        <f aca="false">IF(N36&lt;&gt;"Trade","",H36+IF(M36="Long",1,-1)*ZielR*P36)</f>
        <v/>
      </c>
      <c r="R36" s="13" t="str">
        <f aca="false">IF(OR(N36&lt;&gt;"Trade",I36=""),"",IF(I36="Ziel",Q36,IF(I36="Stop",O36,IF(J36="","",J36))))</f>
        <v/>
      </c>
      <c r="S36" s="13" t="str">
        <f aca="false">IF(R36="","",(R36-H36)*IF(M36="Long",1,-1)-2*Slippage)</f>
        <v/>
      </c>
      <c r="T36" s="14" t="str">
        <f aca="false">IF(OR(S36="",P36=0),"",S36/P36)</f>
        <v/>
      </c>
      <c r="U36" s="15" t="str">
        <f aca="false">IF(S36="","",S36*Punktwert*Kontrakte-Kommission*Kontrakte)</f>
        <v/>
      </c>
      <c r="V36" s="15" t="str">
        <f aca="false">IF(U36="","",SUM($U$5:U36))</f>
        <v/>
      </c>
      <c r="W36" s="15" t="str">
        <f aca="false">IF(V36="","",MAX(0,MAX($V$5:V36)))</f>
        <v/>
      </c>
      <c r="X36" s="15" t="str">
        <f aca="false">IF(V36="","",V36-W36)</f>
        <v/>
      </c>
      <c r="Y36" s="12" t="str">
        <f aca="false">IF(N36&lt;&gt;"Trade","",IF(P36=0,"Stop = Einstieg?",IF(I36="","Ergebnis eintragen",IF(AND(I36="Zeit",J36=""),"Kurs 11:30 fehlt",IF(OR(AND(M36="Short",H36&gt;F36),AND(M36="Long",H36&lt;G36)),"Einstieg prüfen","ok")))))</f>
        <v/>
      </c>
      <c r="Z36" s="16" t="str">
        <f aca="false">IF(A36="","",WEEKDAY(A36,2))</f>
        <v/>
      </c>
    </row>
    <row r="37" customFormat="false" ht="15" hidden="false" customHeight="false" outlineLevel="0" collapsed="false">
      <c r="A37" s="8"/>
      <c r="B37" s="9"/>
      <c r="C37" s="9"/>
      <c r="D37" s="9"/>
      <c r="E37" s="9"/>
      <c r="F37" s="9"/>
      <c r="G37" s="9"/>
      <c r="H37" s="9"/>
      <c r="I37" s="10"/>
      <c r="J37" s="9"/>
      <c r="K37" s="10"/>
      <c r="L37" s="11" t="str">
        <f aca="false">IF(OR(B37="",C37=""),"",(C37-B37)/B37)</f>
        <v/>
      </c>
      <c r="M37" s="12" t="str">
        <f aca="false">IF(L37="","",IF(ABS(L37)&lt;MinDrive,"kein Trade",IF(L37&gt;0,"Short","Long")))</f>
        <v/>
      </c>
      <c r="N37" s="12" t="str">
        <f aca="false">IF(OR(M37="",M37="kein Trade"),"",IF(H37="","kein Signal","Trade"))</f>
        <v/>
      </c>
      <c r="O37" s="13" t="str">
        <f aca="false">IF(N37&lt;&gt;"Trade","",IF(M37="Short",D37,E37))</f>
        <v/>
      </c>
      <c r="P37" s="13" t="str">
        <f aca="false">IF(N37&lt;&gt;"Trade","",ABS(H37-O37))</f>
        <v/>
      </c>
      <c r="Q37" s="13" t="str">
        <f aca="false">IF(N37&lt;&gt;"Trade","",H37+IF(M37="Long",1,-1)*ZielR*P37)</f>
        <v/>
      </c>
      <c r="R37" s="13" t="str">
        <f aca="false">IF(OR(N37&lt;&gt;"Trade",I37=""),"",IF(I37="Ziel",Q37,IF(I37="Stop",O37,IF(J37="","",J37))))</f>
        <v/>
      </c>
      <c r="S37" s="13" t="str">
        <f aca="false">IF(R37="","",(R37-H37)*IF(M37="Long",1,-1)-2*Slippage)</f>
        <v/>
      </c>
      <c r="T37" s="14" t="str">
        <f aca="false">IF(OR(S37="",P37=0),"",S37/P37)</f>
        <v/>
      </c>
      <c r="U37" s="15" t="str">
        <f aca="false">IF(S37="","",S37*Punktwert*Kontrakte-Kommission*Kontrakte)</f>
        <v/>
      </c>
      <c r="V37" s="15" t="str">
        <f aca="false">IF(U37="","",SUM($U$5:U37))</f>
        <v/>
      </c>
      <c r="W37" s="15" t="str">
        <f aca="false">IF(V37="","",MAX(0,MAX($V$5:V37)))</f>
        <v/>
      </c>
      <c r="X37" s="15" t="str">
        <f aca="false">IF(V37="","",V37-W37)</f>
        <v/>
      </c>
      <c r="Y37" s="12" t="str">
        <f aca="false">IF(N37&lt;&gt;"Trade","",IF(P37=0,"Stop = Einstieg?",IF(I37="","Ergebnis eintragen",IF(AND(I37="Zeit",J37=""),"Kurs 11:30 fehlt",IF(OR(AND(M37="Short",H37&gt;F37),AND(M37="Long",H37&lt;G37)),"Einstieg prüfen","ok")))))</f>
        <v/>
      </c>
      <c r="Z37" s="16" t="str">
        <f aca="false">IF(A37="","",WEEKDAY(A37,2))</f>
        <v/>
      </c>
    </row>
    <row r="38" customFormat="false" ht="15" hidden="false" customHeight="false" outlineLevel="0" collapsed="false">
      <c r="A38" s="8"/>
      <c r="B38" s="9"/>
      <c r="C38" s="9"/>
      <c r="D38" s="9"/>
      <c r="E38" s="9"/>
      <c r="F38" s="9"/>
      <c r="G38" s="9"/>
      <c r="H38" s="9"/>
      <c r="I38" s="10"/>
      <c r="J38" s="9"/>
      <c r="K38" s="10"/>
      <c r="L38" s="11" t="str">
        <f aca="false">IF(OR(B38="",C38=""),"",(C38-B38)/B38)</f>
        <v/>
      </c>
      <c r="M38" s="12" t="str">
        <f aca="false">IF(L38="","",IF(ABS(L38)&lt;MinDrive,"kein Trade",IF(L38&gt;0,"Short","Long")))</f>
        <v/>
      </c>
      <c r="N38" s="12" t="str">
        <f aca="false">IF(OR(M38="",M38="kein Trade"),"",IF(H38="","kein Signal","Trade"))</f>
        <v/>
      </c>
      <c r="O38" s="13" t="str">
        <f aca="false">IF(N38&lt;&gt;"Trade","",IF(M38="Short",D38,E38))</f>
        <v/>
      </c>
      <c r="P38" s="13" t="str">
        <f aca="false">IF(N38&lt;&gt;"Trade","",ABS(H38-O38))</f>
        <v/>
      </c>
      <c r="Q38" s="13" t="str">
        <f aca="false">IF(N38&lt;&gt;"Trade","",H38+IF(M38="Long",1,-1)*ZielR*P38)</f>
        <v/>
      </c>
      <c r="R38" s="13" t="str">
        <f aca="false">IF(OR(N38&lt;&gt;"Trade",I38=""),"",IF(I38="Ziel",Q38,IF(I38="Stop",O38,IF(J38="","",J38))))</f>
        <v/>
      </c>
      <c r="S38" s="13" t="str">
        <f aca="false">IF(R38="","",(R38-H38)*IF(M38="Long",1,-1)-2*Slippage)</f>
        <v/>
      </c>
      <c r="T38" s="14" t="str">
        <f aca="false">IF(OR(S38="",P38=0),"",S38/P38)</f>
        <v/>
      </c>
      <c r="U38" s="15" t="str">
        <f aca="false">IF(S38="","",S38*Punktwert*Kontrakte-Kommission*Kontrakte)</f>
        <v/>
      </c>
      <c r="V38" s="15" t="str">
        <f aca="false">IF(U38="","",SUM($U$5:U38))</f>
        <v/>
      </c>
      <c r="W38" s="15" t="str">
        <f aca="false">IF(V38="","",MAX(0,MAX($V$5:V38)))</f>
        <v/>
      </c>
      <c r="X38" s="15" t="str">
        <f aca="false">IF(V38="","",V38-W38)</f>
        <v/>
      </c>
      <c r="Y38" s="12" t="str">
        <f aca="false">IF(N38&lt;&gt;"Trade","",IF(P38=0,"Stop = Einstieg?",IF(I38="","Ergebnis eintragen",IF(AND(I38="Zeit",J38=""),"Kurs 11:30 fehlt",IF(OR(AND(M38="Short",H38&gt;F38),AND(M38="Long",H38&lt;G38)),"Einstieg prüfen","ok")))))</f>
        <v/>
      </c>
      <c r="Z38" s="16" t="str">
        <f aca="false">IF(A38="","",WEEKDAY(A38,2))</f>
        <v/>
      </c>
    </row>
    <row r="39" customFormat="false" ht="15" hidden="false" customHeight="false" outlineLevel="0" collapsed="false">
      <c r="A39" s="8"/>
      <c r="B39" s="9"/>
      <c r="C39" s="9"/>
      <c r="D39" s="9"/>
      <c r="E39" s="9"/>
      <c r="F39" s="9"/>
      <c r="G39" s="9"/>
      <c r="H39" s="9"/>
      <c r="I39" s="10"/>
      <c r="J39" s="9"/>
      <c r="K39" s="10"/>
      <c r="L39" s="11" t="str">
        <f aca="false">IF(OR(B39="",C39=""),"",(C39-B39)/B39)</f>
        <v/>
      </c>
      <c r="M39" s="12" t="str">
        <f aca="false">IF(L39="","",IF(ABS(L39)&lt;MinDrive,"kein Trade",IF(L39&gt;0,"Short","Long")))</f>
        <v/>
      </c>
      <c r="N39" s="12" t="str">
        <f aca="false">IF(OR(M39="",M39="kein Trade"),"",IF(H39="","kein Signal","Trade"))</f>
        <v/>
      </c>
      <c r="O39" s="13" t="str">
        <f aca="false">IF(N39&lt;&gt;"Trade","",IF(M39="Short",D39,E39))</f>
        <v/>
      </c>
      <c r="P39" s="13" t="str">
        <f aca="false">IF(N39&lt;&gt;"Trade","",ABS(H39-O39))</f>
        <v/>
      </c>
      <c r="Q39" s="13" t="str">
        <f aca="false">IF(N39&lt;&gt;"Trade","",H39+IF(M39="Long",1,-1)*ZielR*P39)</f>
        <v/>
      </c>
      <c r="R39" s="13" t="str">
        <f aca="false">IF(OR(N39&lt;&gt;"Trade",I39=""),"",IF(I39="Ziel",Q39,IF(I39="Stop",O39,IF(J39="","",J39))))</f>
        <v/>
      </c>
      <c r="S39" s="13" t="str">
        <f aca="false">IF(R39="","",(R39-H39)*IF(M39="Long",1,-1)-2*Slippage)</f>
        <v/>
      </c>
      <c r="T39" s="14" t="str">
        <f aca="false">IF(OR(S39="",P39=0),"",S39/P39)</f>
        <v/>
      </c>
      <c r="U39" s="15" t="str">
        <f aca="false">IF(S39="","",S39*Punktwert*Kontrakte-Kommission*Kontrakte)</f>
        <v/>
      </c>
      <c r="V39" s="15" t="str">
        <f aca="false">IF(U39="","",SUM($U$5:U39))</f>
        <v/>
      </c>
      <c r="W39" s="15" t="str">
        <f aca="false">IF(V39="","",MAX(0,MAX($V$5:V39)))</f>
        <v/>
      </c>
      <c r="X39" s="15" t="str">
        <f aca="false">IF(V39="","",V39-W39)</f>
        <v/>
      </c>
      <c r="Y39" s="12" t="str">
        <f aca="false">IF(N39&lt;&gt;"Trade","",IF(P39=0,"Stop = Einstieg?",IF(I39="","Ergebnis eintragen",IF(AND(I39="Zeit",J39=""),"Kurs 11:30 fehlt",IF(OR(AND(M39="Short",H39&gt;F39),AND(M39="Long",H39&lt;G39)),"Einstieg prüfen","ok")))))</f>
        <v/>
      </c>
      <c r="Z39" s="16" t="str">
        <f aca="false">IF(A39="","",WEEKDAY(A39,2))</f>
        <v/>
      </c>
    </row>
    <row r="40" customFormat="false" ht="15" hidden="false" customHeight="false" outlineLevel="0" collapsed="false">
      <c r="A40" s="8"/>
      <c r="B40" s="9"/>
      <c r="C40" s="9"/>
      <c r="D40" s="9"/>
      <c r="E40" s="9"/>
      <c r="F40" s="9"/>
      <c r="G40" s="9"/>
      <c r="H40" s="9"/>
      <c r="I40" s="10"/>
      <c r="J40" s="9"/>
      <c r="K40" s="10"/>
      <c r="L40" s="11" t="str">
        <f aca="false">IF(OR(B40="",C40=""),"",(C40-B40)/B40)</f>
        <v/>
      </c>
      <c r="M40" s="12" t="str">
        <f aca="false">IF(L40="","",IF(ABS(L40)&lt;MinDrive,"kein Trade",IF(L40&gt;0,"Short","Long")))</f>
        <v/>
      </c>
      <c r="N40" s="12" t="str">
        <f aca="false">IF(OR(M40="",M40="kein Trade"),"",IF(H40="","kein Signal","Trade"))</f>
        <v/>
      </c>
      <c r="O40" s="13" t="str">
        <f aca="false">IF(N40&lt;&gt;"Trade","",IF(M40="Short",D40,E40))</f>
        <v/>
      </c>
      <c r="P40" s="13" t="str">
        <f aca="false">IF(N40&lt;&gt;"Trade","",ABS(H40-O40))</f>
        <v/>
      </c>
      <c r="Q40" s="13" t="str">
        <f aca="false">IF(N40&lt;&gt;"Trade","",H40+IF(M40="Long",1,-1)*ZielR*P40)</f>
        <v/>
      </c>
      <c r="R40" s="13" t="str">
        <f aca="false">IF(OR(N40&lt;&gt;"Trade",I40=""),"",IF(I40="Ziel",Q40,IF(I40="Stop",O40,IF(J40="","",J40))))</f>
        <v/>
      </c>
      <c r="S40" s="13" t="str">
        <f aca="false">IF(R40="","",(R40-H40)*IF(M40="Long",1,-1)-2*Slippage)</f>
        <v/>
      </c>
      <c r="T40" s="14" t="str">
        <f aca="false">IF(OR(S40="",P40=0),"",S40/P40)</f>
        <v/>
      </c>
      <c r="U40" s="15" t="str">
        <f aca="false">IF(S40="","",S40*Punktwert*Kontrakte-Kommission*Kontrakte)</f>
        <v/>
      </c>
      <c r="V40" s="15" t="str">
        <f aca="false">IF(U40="","",SUM($U$5:U40))</f>
        <v/>
      </c>
      <c r="W40" s="15" t="str">
        <f aca="false">IF(V40="","",MAX(0,MAX($V$5:V40)))</f>
        <v/>
      </c>
      <c r="X40" s="15" t="str">
        <f aca="false">IF(V40="","",V40-W40)</f>
        <v/>
      </c>
      <c r="Y40" s="12" t="str">
        <f aca="false">IF(N40&lt;&gt;"Trade","",IF(P40=0,"Stop = Einstieg?",IF(I40="","Ergebnis eintragen",IF(AND(I40="Zeit",J40=""),"Kurs 11:30 fehlt",IF(OR(AND(M40="Short",H40&gt;F40),AND(M40="Long",H40&lt;G40)),"Einstieg prüfen","ok")))))</f>
        <v/>
      </c>
      <c r="Z40" s="16" t="str">
        <f aca="false">IF(A40="","",WEEKDAY(A40,2))</f>
        <v/>
      </c>
    </row>
    <row r="41" customFormat="false" ht="15" hidden="false" customHeight="false" outlineLevel="0" collapsed="false">
      <c r="A41" s="8"/>
      <c r="B41" s="9"/>
      <c r="C41" s="9"/>
      <c r="D41" s="9"/>
      <c r="E41" s="9"/>
      <c r="F41" s="9"/>
      <c r="G41" s="9"/>
      <c r="H41" s="9"/>
      <c r="I41" s="10"/>
      <c r="J41" s="9"/>
      <c r="K41" s="10"/>
      <c r="L41" s="11" t="str">
        <f aca="false">IF(OR(B41="",C41=""),"",(C41-B41)/B41)</f>
        <v/>
      </c>
      <c r="M41" s="12" t="str">
        <f aca="false">IF(L41="","",IF(ABS(L41)&lt;MinDrive,"kein Trade",IF(L41&gt;0,"Short","Long")))</f>
        <v/>
      </c>
      <c r="N41" s="12" t="str">
        <f aca="false">IF(OR(M41="",M41="kein Trade"),"",IF(H41="","kein Signal","Trade"))</f>
        <v/>
      </c>
      <c r="O41" s="13" t="str">
        <f aca="false">IF(N41&lt;&gt;"Trade","",IF(M41="Short",D41,E41))</f>
        <v/>
      </c>
      <c r="P41" s="13" t="str">
        <f aca="false">IF(N41&lt;&gt;"Trade","",ABS(H41-O41))</f>
        <v/>
      </c>
      <c r="Q41" s="13" t="str">
        <f aca="false">IF(N41&lt;&gt;"Trade","",H41+IF(M41="Long",1,-1)*ZielR*P41)</f>
        <v/>
      </c>
      <c r="R41" s="13" t="str">
        <f aca="false">IF(OR(N41&lt;&gt;"Trade",I41=""),"",IF(I41="Ziel",Q41,IF(I41="Stop",O41,IF(J41="","",J41))))</f>
        <v/>
      </c>
      <c r="S41" s="13" t="str">
        <f aca="false">IF(R41="","",(R41-H41)*IF(M41="Long",1,-1)-2*Slippage)</f>
        <v/>
      </c>
      <c r="T41" s="14" t="str">
        <f aca="false">IF(OR(S41="",P41=0),"",S41/P41)</f>
        <v/>
      </c>
      <c r="U41" s="15" t="str">
        <f aca="false">IF(S41="","",S41*Punktwert*Kontrakte-Kommission*Kontrakte)</f>
        <v/>
      </c>
      <c r="V41" s="15" t="str">
        <f aca="false">IF(U41="","",SUM($U$5:U41))</f>
        <v/>
      </c>
      <c r="W41" s="15" t="str">
        <f aca="false">IF(V41="","",MAX(0,MAX($V$5:V41)))</f>
        <v/>
      </c>
      <c r="X41" s="15" t="str">
        <f aca="false">IF(V41="","",V41-W41)</f>
        <v/>
      </c>
      <c r="Y41" s="12" t="str">
        <f aca="false">IF(N41&lt;&gt;"Trade","",IF(P41=0,"Stop = Einstieg?",IF(I41="","Ergebnis eintragen",IF(AND(I41="Zeit",J41=""),"Kurs 11:30 fehlt",IF(OR(AND(M41="Short",H41&gt;F41),AND(M41="Long",H41&lt;G41)),"Einstieg prüfen","ok")))))</f>
        <v/>
      </c>
      <c r="Z41" s="16" t="str">
        <f aca="false">IF(A41="","",WEEKDAY(A41,2))</f>
        <v/>
      </c>
    </row>
    <row r="42" customFormat="false" ht="15" hidden="false" customHeight="false" outlineLevel="0" collapsed="false">
      <c r="A42" s="8"/>
      <c r="B42" s="9"/>
      <c r="C42" s="9"/>
      <c r="D42" s="9"/>
      <c r="E42" s="9"/>
      <c r="F42" s="9"/>
      <c r="G42" s="9"/>
      <c r="H42" s="9"/>
      <c r="I42" s="10"/>
      <c r="J42" s="9"/>
      <c r="K42" s="10"/>
      <c r="L42" s="11" t="str">
        <f aca="false">IF(OR(B42="",C42=""),"",(C42-B42)/B42)</f>
        <v/>
      </c>
      <c r="M42" s="12" t="str">
        <f aca="false">IF(L42="","",IF(ABS(L42)&lt;MinDrive,"kein Trade",IF(L42&gt;0,"Short","Long")))</f>
        <v/>
      </c>
      <c r="N42" s="12" t="str">
        <f aca="false">IF(OR(M42="",M42="kein Trade"),"",IF(H42="","kein Signal","Trade"))</f>
        <v/>
      </c>
      <c r="O42" s="13" t="str">
        <f aca="false">IF(N42&lt;&gt;"Trade","",IF(M42="Short",D42,E42))</f>
        <v/>
      </c>
      <c r="P42" s="13" t="str">
        <f aca="false">IF(N42&lt;&gt;"Trade","",ABS(H42-O42))</f>
        <v/>
      </c>
      <c r="Q42" s="13" t="str">
        <f aca="false">IF(N42&lt;&gt;"Trade","",H42+IF(M42="Long",1,-1)*ZielR*P42)</f>
        <v/>
      </c>
      <c r="R42" s="13" t="str">
        <f aca="false">IF(OR(N42&lt;&gt;"Trade",I42=""),"",IF(I42="Ziel",Q42,IF(I42="Stop",O42,IF(J42="","",J42))))</f>
        <v/>
      </c>
      <c r="S42" s="13" t="str">
        <f aca="false">IF(R42="","",(R42-H42)*IF(M42="Long",1,-1)-2*Slippage)</f>
        <v/>
      </c>
      <c r="T42" s="14" t="str">
        <f aca="false">IF(OR(S42="",P42=0),"",S42/P42)</f>
        <v/>
      </c>
      <c r="U42" s="15" t="str">
        <f aca="false">IF(S42="","",S42*Punktwert*Kontrakte-Kommission*Kontrakte)</f>
        <v/>
      </c>
      <c r="V42" s="15" t="str">
        <f aca="false">IF(U42="","",SUM($U$5:U42))</f>
        <v/>
      </c>
      <c r="W42" s="15" t="str">
        <f aca="false">IF(V42="","",MAX(0,MAX($V$5:V42)))</f>
        <v/>
      </c>
      <c r="X42" s="15" t="str">
        <f aca="false">IF(V42="","",V42-W42)</f>
        <v/>
      </c>
      <c r="Y42" s="12" t="str">
        <f aca="false">IF(N42&lt;&gt;"Trade","",IF(P42=0,"Stop = Einstieg?",IF(I42="","Ergebnis eintragen",IF(AND(I42="Zeit",J42=""),"Kurs 11:30 fehlt",IF(OR(AND(M42="Short",H42&gt;F42),AND(M42="Long",H42&lt;G42)),"Einstieg prüfen","ok")))))</f>
        <v/>
      </c>
      <c r="Z42" s="16" t="str">
        <f aca="false">IF(A42="","",WEEKDAY(A42,2))</f>
        <v/>
      </c>
    </row>
    <row r="43" customFormat="false" ht="15" hidden="false" customHeight="false" outlineLevel="0" collapsed="false">
      <c r="A43" s="8"/>
      <c r="B43" s="9"/>
      <c r="C43" s="9"/>
      <c r="D43" s="9"/>
      <c r="E43" s="9"/>
      <c r="F43" s="9"/>
      <c r="G43" s="9"/>
      <c r="H43" s="9"/>
      <c r="I43" s="10"/>
      <c r="J43" s="9"/>
      <c r="K43" s="10"/>
      <c r="L43" s="11" t="str">
        <f aca="false">IF(OR(B43="",C43=""),"",(C43-B43)/B43)</f>
        <v/>
      </c>
      <c r="M43" s="12" t="str">
        <f aca="false">IF(L43="","",IF(ABS(L43)&lt;MinDrive,"kein Trade",IF(L43&gt;0,"Short","Long")))</f>
        <v/>
      </c>
      <c r="N43" s="12" t="str">
        <f aca="false">IF(OR(M43="",M43="kein Trade"),"",IF(H43="","kein Signal","Trade"))</f>
        <v/>
      </c>
      <c r="O43" s="13" t="str">
        <f aca="false">IF(N43&lt;&gt;"Trade","",IF(M43="Short",D43,E43))</f>
        <v/>
      </c>
      <c r="P43" s="13" t="str">
        <f aca="false">IF(N43&lt;&gt;"Trade","",ABS(H43-O43))</f>
        <v/>
      </c>
      <c r="Q43" s="13" t="str">
        <f aca="false">IF(N43&lt;&gt;"Trade","",H43+IF(M43="Long",1,-1)*ZielR*P43)</f>
        <v/>
      </c>
      <c r="R43" s="13" t="str">
        <f aca="false">IF(OR(N43&lt;&gt;"Trade",I43=""),"",IF(I43="Ziel",Q43,IF(I43="Stop",O43,IF(J43="","",J43))))</f>
        <v/>
      </c>
      <c r="S43" s="13" t="str">
        <f aca="false">IF(R43="","",(R43-H43)*IF(M43="Long",1,-1)-2*Slippage)</f>
        <v/>
      </c>
      <c r="T43" s="14" t="str">
        <f aca="false">IF(OR(S43="",P43=0),"",S43/P43)</f>
        <v/>
      </c>
      <c r="U43" s="15" t="str">
        <f aca="false">IF(S43="","",S43*Punktwert*Kontrakte-Kommission*Kontrakte)</f>
        <v/>
      </c>
      <c r="V43" s="15" t="str">
        <f aca="false">IF(U43="","",SUM($U$5:U43))</f>
        <v/>
      </c>
      <c r="W43" s="15" t="str">
        <f aca="false">IF(V43="","",MAX(0,MAX($V$5:V43)))</f>
        <v/>
      </c>
      <c r="X43" s="15" t="str">
        <f aca="false">IF(V43="","",V43-W43)</f>
        <v/>
      </c>
      <c r="Y43" s="12" t="str">
        <f aca="false">IF(N43&lt;&gt;"Trade","",IF(P43=0,"Stop = Einstieg?",IF(I43="","Ergebnis eintragen",IF(AND(I43="Zeit",J43=""),"Kurs 11:30 fehlt",IF(OR(AND(M43="Short",H43&gt;F43),AND(M43="Long",H43&lt;G43)),"Einstieg prüfen","ok")))))</f>
        <v/>
      </c>
      <c r="Z43" s="16" t="str">
        <f aca="false">IF(A43="","",WEEKDAY(A43,2))</f>
        <v/>
      </c>
    </row>
    <row r="44" customFormat="false" ht="15" hidden="false" customHeight="false" outlineLevel="0" collapsed="false">
      <c r="A44" s="8"/>
      <c r="B44" s="9"/>
      <c r="C44" s="9"/>
      <c r="D44" s="9"/>
      <c r="E44" s="9"/>
      <c r="F44" s="9"/>
      <c r="G44" s="9"/>
      <c r="H44" s="9"/>
      <c r="I44" s="10"/>
      <c r="J44" s="9"/>
      <c r="K44" s="10"/>
      <c r="L44" s="11" t="str">
        <f aca="false">IF(OR(B44="",C44=""),"",(C44-B44)/B44)</f>
        <v/>
      </c>
      <c r="M44" s="12" t="str">
        <f aca="false">IF(L44="","",IF(ABS(L44)&lt;MinDrive,"kein Trade",IF(L44&gt;0,"Short","Long")))</f>
        <v/>
      </c>
      <c r="N44" s="12" t="str">
        <f aca="false">IF(OR(M44="",M44="kein Trade"),"",IF(H44="","kein Signal","Trade"))</f>
        <v/>
      </c>
      <c r="O44" s="13" t="str">
        <f aca="false">IF(N44&lt;&gt;"Trade","",IF(M44="Short",D44,E44))</f>
        <v/>
      </c>
      <c r="P44" s="13" t="str">
        <f aca="false">IF(N44&lt;&gt;"Trade","",ABS(H44-O44))</f>
        <v/>
      </c>
      <c r="Q44" s="13" t="str">
        <f aca="false">IF(N44&lt;&gt;"Trade","",H44+IF(M44="Long",1,-1)*ZielR*P44)</f>
        <v/>
      </c>
      <c r="R44" s="13" t="str">
        <f aca="false">IF(OR(N44&lt;&gt;"Trade",I44=""),"",IF(I44="Ziel",Q44,IF(I44="Stop",O44,IF(J44="","",J44))))</f>
        <v/>
      </c>
      <c r="S44" s="13" t="str">
        <f aca="false">IF(R44="","",(R44-H44)*IF(M44="Long",1,-1)-2*Slippage)</f>
        <v/>
      </c>
      <c r="T44" s="14" t="str">
        <f aca="false">IF(OR(S44="",P44=0),"",S44/P44)</f>
        <v/>
      </c>
      <c r="U44" s="15" t="str">
        <f aca="false">IF(S44="","",S44*Punktwert*Kontrakte-Kommission*Kontrakte)</f>
        <v/>
      </c>
      <c r="V44" s="15" t="str">
        <f aca="false">IF(U44="","",SUM($U$5:U44))</f>
        <v/>
      </c>
      <c r="W44" s="15" t="str">
        <f aca="false">IF(V44="","",MAX(0,MAX($V$5:V44)))</f>
        <v/>
      </c>
      <c r="X44" s="15" t="str">
        <f aca="false">IF(V44="","",V44-W44)</f>
        <v/>
      </c>
      <c r="Y44" s="12" t="str">
        <f aca="false">IF(N44&lt;&gt;"Trade","",IF(P44=0,"Stop = Einstieg?",IF(I44="","Ergebnis eintragen",IF(AND(I44="Zeit",J44=""),"Kurs 11:30 fehlt",IF(OR(AND(M44="Short",H44&gt;F44),AND(M44="Long",H44&lt;G44)),"Einstieg prüfen","ok")))))</f>
        <v/>
      </c>
      <c r="Z44" s="16" t="str">
        <f aca="false">IF(A44="","",WEEKDAY(A44,2))</f>
        <v/>
      </c>
    </row>
    <row r="45" customFormat="false" ht="15" hidden="false" customHeight="false" outlineLevel="0" collapsed="false">
      <c r="A45" s="8"/>
      <c r="B45" s="9"/>
      <c r="C45" s="9"/>
      <c r="D45" s="9"/>
      <c r="E45" s="9"/>
      <c r="F45" s="9"/>
      <c r="G45" s="9"/>
      <c r="H45" s="9"/>
      <c r="I45" s="10"/>
      <c r="J45" s="9"/>
      <c r="K45" s="10"/>
      <c r="L45" s="11" t="str">
        <f aca="false">IF(OR(B45="",C45=""),"",(C45-B45)/B45)</f>
        <v/>
      </c>
      <c r="M45" s="12" t="str">
        <f aca="false">IF(L45="","",IF(ABS(L45)&lt;MinDrive,"kein Trade",IF(L45&gt;0,"Short","Long")))</f>
        <v/>
      </c>
      <c r="N45" s="12" t="str">
        <f aca="false">IF(OR(M45="",M45="kein Trade"),"",IF(H45="","kein Signal","Trade"))</f>
        <v/>
      </c>
      <c r="O45" s="13" t="str">
        <f aca="false">IF(N45&lt;&gt;"Trade","",IF(M45="Short",D45,E45))</f>
        <v/>
      </c>
      <c r="P45" s="13" t="str">
        <f aca="false">IF(N45&lt;&gt;"Trade","",ABS(H45-O45))</f>
        <v/>
      </c>
      <c r="Q45" s="13" t="str">
        <f aca="false">IF(N45&lt;&gt;"Trade","",H45+IF(M45="Long",1,-1)*ZielR*P45)</f>
        <v/>
      </c>
      <c r="R45" s="13" t="str">
        <f aca="false">IF(OR(N45&lt;&gt;"Trade",I45=""),"",IF(I45="Ziel",Q45,IF(I45="Stop",O45,IF(J45="","",J45))))</f>
        <v/>
      </c>
      <c r="S45" s="13" t="str">
        <f aca="false">IF(R45="","",(R45-H45)*IF(M45="Long",1,-1)-2*Slippage)</f>
        <v/>
      </c>
      <c r="T45" s="14" t="str">
        <f aca="false">IF(OR(S45="",P45=0),"",S45/P45)</f>
        <v/>
      </c>
      <c r="U45" s="15" t="str">
        <f aca="false">IF(S45="","",S45*Punktwert*Kontrakte-Kommission*Kontrakte)</f>
        <v/>
      </c>
      <c r="V45" s="15" t="str">
        <f aca="false">IF(U45="","",SUM($U$5:U45))</f>
        <v/>
      </c>
      <c r="W45" s="15" t="str">
        <f aca="false">IF(V45="","",MAX(0,MAX($V$5:V45)))</f>
        <v/>
      </c>
      <c r="X45" s="15" t="str">
        <f aca="false">IF(V45="","",V45-W45)</f>
        <v/>
      </c>
      <c r="Y45" s="12" t="str">
        <f aca="false">IF(N45&lt;&gt;"Trade","",IF(P45=0,"Stop = Einstieg?",IF(I45="","Ergebnis eintragen",IF(AND(I45="Zeit",J45=""),"Kurs 11:30 fehlt",IF(OR(AND(M45="Short",H45&gt;F45),AND(M45="Long",H45&lt;G45)),"Einstieg prüfen","ok")))))</f>
        <v/>
      </c>
      <c r="Z45" s="16" t="str">
        <f aca="false">IF(A45="","",WEEKDAY(A45,2))</f>
        <v/>
      </c>
    </row>
    <row r="46" customFormat="false" ht="15" hidden="false" customHeight="false" outlineLevel="0" collapsed="false">
      <c r="A46" s="8"/>
      <c r="B46" s="9"/>
      <c r="C46" s="9"/>
      <c r="D46" s="9"/>
      <c r="E46" s="9"/>
      <c r="F46" s="9"/>
      <c r="G46" s="9"/>
      <c r="H46" s="9"/>
      <c r="I46" s="10"/>
      <c r="J46" s="9"/>
      <c r="K46" s="10"/>
      <c r="L46" s="11" t="str">
        <f aca="false">IF(OR(B46="",C46=""),"",(C46-B46)/B46)</f>
        <v/>
      </c>
      <c r="M46" s="12" t="str">
        <f aca="false">IF(L46="","",IF(ABS(L46)&lt;MinDrive,"kein Trade",IF(L46&gt;0,"Short","Long")))</f>
        <v/>
      </c>
      <c r="N46" s="12" t="str">
        <f aca="false">IF(OR(M46="",M46="kein Trade"),"",IF(H46="","kein Signal","Trade"))</f>
        <v/>
      </c>
      <c r="O46" s="13" t="str">
        <f aca="false">IF(N46&lt;&gt;"Trade","",IF(M46="Short",D46,E46))</f>
        <v/>
      </c>
      <c r="P46" s="13" t="str">
        <f aca="false">IF(N46&lt;&gt;"Trade","",ABS(H46-O46))</f>
        <v/>
      </c>
      <c r="Q46" s="13" t="str">
        <f aca="false">IF(N46&lt;&gt;"Trade","",H46+IF(M46="Long",1,-1)*ZielR*P46)</f>
        <v/>
      </c>
      <c r="R46" s="13" t="str">
        <f aca="false">IF(OR(N46&lt;&gt;"Trade",I46=""),"",IF(I46="Ziel",Q46,IF(I46="Stop",O46,IF(J46="","",J46))))</f>
        <v/>
      </c>
      <c r="S46" s="13" t="str">
        <f aca="false">IF(R46="","",(R46-H46)*IF(M46="Long",1,-1)-2*Slippage)</f>
        <v/>
      </c>
      <c r="T46" s="14" t="str">
        <f aca="false">IF(OR(S46="",P46=0),"",S46/P46)</f>
        <v/>
      </c>
      <c r="U46" s="15" t="str">
        <f aca="false">IF(S46="","",S46*Punktwert*Kontrakte-Kommission*Kontrakte)</f>
        <v/>
      </c>
      <c r="V46" s="15" t="str">
        <f aca="false">IF(U46="","",SUM($U$5:U46))</f>
        <v/>
      </c>
      <c r="W46" s="15" t="str">
        <f aca="false">IF(V46="","",MAX(0,MAX($V$5:V46)))</f>
        <v/>
      </c>
      <c r="X46" s="15" t="str">
        <f aca="false">IF(V46="","",V46-W46)</f>
        <v/>
      </c>
      <c r="Y46" s="12" t="str">
        <f aca="false">IF(N46&lt;&gt;"Trade","",IF(P46=0,"Stop = Einstieg?",IF(I46="","Ergebnis eintragen",IF(AND(I46="Zeit",J46=""),"Kurs 11:30 fehlt",IF(OR(AND(M46="Short",H46&gt;F46),AND(M46="Long",H46&lt;G46)),"Einstieg prüfen","ok")))))</f>
        <v/>
      </c>
      <c r="Z46" s="16" t="str">
        <f aca="false">IF(A46="","",WEEKDAY(A46,2))</f>
        <v/>
      </c>
    </row>
    <row r="47" customFormat="false" ht="15" hidden="false" customHeight="false" outlineLevel="0" collapsed="false">
      <c r="A47" s="8"/>
      <c r="B47" s="9"/>
      <c r="C47" s="9"/>
      <c r="D47" s="9"/>
      <c r="E47" s="9"/>
      <c r="F47" s="9"/>
      <c r="G47" s="9"/>
      <c r="H47" s="9"/>
      <c r="I47" s="10"/>
      <c r="J47" s="9"/>
      <c r="K47" s="10"/>
      <c r="L47" s="11" t="str">
        <f aca="false">IF(OR(B47="",C47=""),"",(C47-B47)/B47)</f>
        <v/>
      </c>
      <c r="M47" s="12" t="str">
        <f aca="false">IF(L47="","",IF(ABS(L47)&lt;MinDrive,"kein Trade",IF(L47&gt;0,"Short","Long")))</f>
        <v/>
      </c>
      <c r="N47" s="12" t="str">
        <f aca="false">IF(OR(M47="",M47="kein Trade"),"",IF(H47="","kein Signal","Trade"))</f>
        <v/>
      </c>
      <c r="O47" s="13" t="str">
        <f aca="false">IF(N47&lt;&gt;"Trade","",IF(M47="Short",D47,E47))</f>
        <v/>
      </c>
      <c r="P47" s="13" t="str">
        <f aca="false">IF(N47&lt;&gt;"Trade","",ABS(H47-O47))</f>
        <v/>
      </c>
      <c r="Q47" s="13" t="str">
        <f aca="false">IF(N47&lt;&gt;"Trade","",H47+IF(M47="Long",1,-1)*ZielR*P47)</f>
        <v/>
      </c>
      <c r="R47" s="13" t="str">
        <f aca="false">IF(OR(N47&lt;&gt;"Trade",I47=""),"",IF(I47="Ziel",Q47,IF(I47="Stop",O47,IF(J47="","",J47))))</f>
        <v/>
      </c>
      <c r="S47" s="13" t="str">
        <f aca="false">IF(R47="","",(R47-H47)*IF(M47="Long",1,-1)-2*Slippage)</f>
        <v/>
      </c>
      <c r="T47" s="14" t="str">
        <f aca="false">IF(OR(S47="",P47=0),"",S47/P47)</f>
        <v/>
      </c>
      <c r="U47" s="15" t="str">
        <f aca="false">IF(S47="","",S47*Punktwert*Kontrakte-Kommission*Kontrakte)</f>
        <v/>
      </c>
      <c r="V47" s="15" t="str">
        <f aca="false">IF(U47="","",SUM($U$5:U47))</f>
        <v/>
      </c>
      <c r="W47" s="15" t="str">
        <f aca="false">IF(V47="","",MAX(0,MAX($V$5:V47)))</f>
        <v/>
      </c>
      <c r="X47" s="15" t="str">
        <f aca="false">IF(V47="","",V47-W47)</f>
        <v/>
      </c>
      <c r="Y47" s="12" t="str">
        <f aca="false">IF(N47&lt;&gt;"Trade","",IF(P47=0,"Stop = Einstieg?",IF(I47="","Ergebnis eintragen",IF(AND(I47="Zeit",J47=""),"Kurs 11:30 fehlt",IF(OR(AND(M47="Short",H47&gt;F47),AND(M47="Long",H47&lt;G47)),"Einstieg prüfen","ok")))))</f>
        <v/>
      </c>
      <c r="Z47" s="16" t="str">
        <f aca="false">IF(A47="","",WEEKDAY(A47,2))</f>
        <v/>
      </c>
    </row>
    <row r="48" customFormat="false" ht="15" hidden="false" customHeight="false" outlineLevel="0" collapsed="false">
      <c r="A48" s="8"/>
      <c r="B48" s="9"/>
      <c r="C48" s="9"/>
      <c r="D48" s="9"/>
      <c r="E48" s="9"/>
      <c r="F48" s="9"/>
      <c r="G48" s="9"/>
      <c r="H48" s="9"/>
      <c r="I48" s="10"/>
      <c r="J48" s="9"/>
      <c r="K48" s="10"/>
      <c r="L48" s="11" t="str">
        <f aca="false">IF(OR(B48="",C48=""),"",(C48-B48)/B48)</f>
        <v/>
      </c>
      <c r="M48" s="12" t="str">
        <f aca="false">IF(L48="","",IF(ABS(L48)&lt;MinDrive,"kein Trade",IF(L48&gt;0,"Short","Long")))</f>
        <v/>
      </c>
      <c r="N48" s="12" t="str">
        <f aca="false">IF(OR(M48="",M48="kein Trade"),"",IF(H48="","kein Signal","Trade"))</f>
        <v/>
      </c>
      <c r="O48" s="13" t="str">
        <f aca="false">IF(N48&lt;&gt;"Trade","",IF(M48="Short",D48,E48))</f>
        <v/>
      </c>
      <c r="P48" s="13" t="str">
        <f aca="false">IF(N48&lt;&gt;"Trade","",ABS(H48-O48))</f>
        <v/>
      </c>
      <c r="Q48" s="13" t="str">
        <f aca="false">IF(N48&lt;&gt;"Trade","",H48+IF(M48="Long",1,-1)*ZielR*P48)</f>
        <v/>
      </c>
      <c r="R48" s="13" t="str">
        <f aca="false">IF(OR(N48&lt;&gt;"Trade",I48=""),"",IF(I48="Ziel",Q48,IF(I48="Stop",O48,IF(J48="","",J48))))</f>
        <v/>
      </c>
      <c r="S48" s="13" t="str">
        <f aca="false">IF(R48="","",(R48-H48)*IF(M48="Long",1,-1)-2*Slippage)</f>
        <v/>
      </c>
      <c r="T48" s="14" t="str">
        <f aca="false">IF(OR(S48="",P48=0),"",S48/P48)</f>
        <v/>
      </c>
      <c r="U48" s="15" t="str">
        <f aca="false">IF(S48="","",S48*Punktwert*Kontrakte-Kommission*Kontrakte)</f>
        <v/>
      </c>
      <c r="V48" s="15" t="str">
        <f aca="false">IF(U48="","",SUM($U$5:U48))</f>
        <v/>
      </c>
      <c r="W48" s="15" t="str">
        <f aca="false">IF(V48="","",MAX(0,MAX($V$5:V48)))</f>
        <v/>
      </c>
      <c r="X48" s="15" t="str">
        <f aca="false">IF(V48="","",V48-W48)</f>
        <v/>
      </c>
      <c r="Y48" s="12" t="str">
        <f aca="false">IF(N48&lt;&gt;"Trade","",IF(P48=0,"Stop = Einstieg?",IF(I48="","Ergebnis eintragen",IF(AND(I48="Zeit",J48=""),"Kurs 11:30 fehlt",IF(OR(AND(M48="Short",H48&gt;F48),AND(M48="Long",H48&lt;G48)),"Einstieg prüfen","ok")))))</f>
        <v/>
      </c>
      <c r="Z48" s="16" t="str">
        <f aca="false">IF(A48="","",WEEKDAY(A48,2))</f>
        <v/>
      </c>
    </row>
    <row r="49" customFormat="false" ht="15" hidden="false" customHeight="false" outlineLevel="0" collapsed="false">
      <c r="A49" s="8"/>
      <c r="B49" s="9"/>
      <c r="C49" s="9"/>
      <c r="D49" s="9"/>
      <c r="E49" s="9"/>
      <c r="F49" s="9"/>
      <c r="G49" s="9"/>
      <c r="H49" s="9"/>
      <c r="I49" s="10"/>
      <c r="J49" s="9"/>
      <c r="K49" s="10"/>
      <c r="L49" s="11" t="str">
        <f aca="false">IF(OR(B49="",C49=""),"",(C49-B49)/B49)</f>
        <v/>
      </c>
      <c r="M49" s="12" t="str">
        <f aca="false">IF(L49="","",IF(ABS(L49)&lt;MinDrive,"kein Trade",IF(L49&gt;0,"Short","Long")))</f>
        <v/>
      </c>
      <c r="N49" s="12" t="str">
        <f aca="false">IF(OR(M49="",M49="kein Trade"),"",IF(H49="","kein Signal","Trade"))</f>
        <v/>
      </c>
      <c r="O49" s="13" t="str">
        <f aca="false">IF(N49&lt;&gt;"Trade","",IF(M49="Short",D49,E49))</f>
        <v/>
      </c>
      <c r="P49" s="13" t="str">
        <f aca="false">IF(N49&lt;&gt;"Trade","",ABS(H49-O49))</f>
        <v/>
      </c>
      <c r="Q49" s="13" t="str">
        <f aca="false">IF(N49&lt;&gt;"Trade","",H49+IF(M49="Long",1,-1)*ZielR*P49)</f>
        <v/>
      </c>
      <c r="R49" s="13" t="str">
        <f aca="false">IF(OR(N49&lt;&gt;"Trade",I49=""),"",IF(I49="Ziel",Q49,IF(I49="Stop",O49,IF(J49="","",J49))))</f>
        <v/>
      </c>
      <c r="S49" s="13" t="str">
        <f aca="false">IF(R49="","",(R49-H49)*IF(M49="Long",1,-1)-2*Slippage)</f>
        <v/>
      </c>
      <c r="T49" s="14" t="str">
        <f aca="false">IF(OR(S49="",P49=0),"",S49/P49)</f>
        <v/>
      </c>
      <c r="U49" s="15" t="str">
        <f aca="false">IF(S49="","",S49*Punktwert*Kontrakte-Kommission*Kontrakte)</f>
        <v/>
      </c>
      <c r="V49" s="15" t="str">
        <f aca="false">IF(U49="","",SUM($U$5:U49))</f>
        <v/>
      </c>
      <c r="W49" s="15" t="str">
        <f aca="false">IF(V49="","",MAX(0,MAX($V$5:V49)))</f>
        <v/>
      </c>
      <c r="X49" s="15" t="str">
        <f aca="false">IF(V49="","",V49-W49)</f>
        <v/>
      </c>
      <c r="Y49" s="12" t="str">
        <f aca="false">IF(N49&lt;&gt;"Trade","",IF(P49=0,"Stop = Einstieg?",IF(I49="","Ergebnis eintragen",IF(AND(I49="Zeit",J49=""),"Kurs 11:30 fehlt",IF(OR(AND(M49="Short",H49&gt;F49),AND(M49="Long",H49&lt;G49)),"Einstieg prüfen","ok")))))</f>
        <v/>
      </c>
      <c r="Z49" s="16" t="str">
        <f aca="false">IF(A49="","",WEEKDAY(A49,2))</f>
        <v/>
      </c>
    </row>
    <row r="50" customFormat="false" ht="15" hidden="false" customHeight="false" outlineLevel="0" collapsed="false">
      <c r="A50" s="8"/>
      <c r="B50" s="9"/>
      <c r="C50" s="9"/>
      <c r="D50" s="9"/>
      <c r="E50" s="9"/>
      <c r="F50" s="9"/>
      <c r="G50" s="9"/>
      <c r="H50" s="9"/>
      <c r="I50" s="10"/>
      <c r="J50" s="9"/>
      <c r="K50" s="10"/>
      <c r="L50" s="11" t="str">
        <f aca="false">IF(OR(B50="",C50=""),"",(C50-B50)/B50)</f>
        <v/>
      </c>
      <c r="M50" s="12" t="str">
        <f aca="false">IF(L50="","",IF(ABS(L50)&lt;MinDrive,"kein Trade",IF(L50&gt;0,"Short","Long")))</f>
        <v/>
      </c>
      <c r="N50" s="12" t="str">
        <f aca="false">IF(OR(M50="",M50="kein Trade"),"",IF(H50="","kein Signal","Trade"))</f>
        <v/>
      </c>
      <c r="O50" s="13" t="str">
        <f aca="false">IF(N50&lt;&gt;"Trade","",IF(M50="Short",D50,E50))</f>
        <v/>
      </c>
      <c r="P50" s="13" t="str">
        <f aca="false">IF(N50&lt;&gt;"Trade","",ABS(H50-O50))</f>
        <v/>
      </c>
      <c r="Q50" s="13" t="str">
        <f aca="false">IF(N50&lt;&gt;"Trade","",H50+IF(M50="Long",1,-1)*ZielR*P50)</f>
        <v/>
      </c>
      <c r="R50" s="13" t="str">
        <f aca="false">IF(OR(N50&lt;&gt;"Trade",I50=""),"",IF(I50="Ziel",Q50,IF(I50="Stop",O50,IF(J50="","",J50))))</f>
        <v/>
      </c>
      <c r="S50" s="13" t="str">
        <f aca="false">IF(R50="","",(R50-H50)*IF(M50="Long",1,-1)-2*Slippage)</f>
        <v/>
      </c>
      <c r="T50" s="14" t="str">
        <f aca="false">IF(OR(S50="",P50=0),"",S50/P50)</f>
        <v/>
      </c>
      <c r="U50" s="15" t="str">
        <f aca="false">IF(S50="","",S50*Punktwert*Kontrakte-Kommission*Kontrakte)</f>
        <v/>
      </c>
      <c r="V50" s="15" t="str">
        <f aca="false">IF(U50="","",SUM($U$5:U50))</f>
        <v/>
      </c>
      <c r="W50" s="15" t="str">
        <f aca="false">IF(V50="","",MAX(0,MAX($V$5:V50)))</f>
        <v/>
      </c>
      <c r="X50" s="15" t="str">
        <f aca="false">IF(V50="","",V50-W50)</f>
        <v/>
      </c>
      <c r="Y50" s="12" t="str">
        <f aca="false">IF(N50&lt;&gt;"Trade","",IF(P50=0,"Stop = Einstieg?",IF(I50="","Ergebnis eintragen",IF(AND(I50="Zeit",J50=""),"Kurs 11:30 fehlt",IF(OR(AND(M50="Short",H50&gt;F50),AND(M50="Long",H50&lt;G50)),"Einstieg prüfen","ok")))))</f>
        <v/>
      </c>
      <c r="Z50" s="16" t="str">
        <f aca="false">IF(A50="","",WEEKDAY(A50,2))</f>
        <v/>
      </c>
    </row>
    <row r="51" customFormat="false" ht="15" hidden="false" customHeight="false" outlineLevel="0" collapsed="false">
      <c r="A51" s="8"/>
      <c r="B51" s="9"/>
      <c r="C51" s="9"/>
      <c r="D51" s="9"/>
      <c r="E51" s="9"/>
      <c r="F51" s="9"/>
      <c r="G51" s="9"/>
      <c r="H51" s="9"/>
      <c r="I51" s="10"/>
      <c r="J51" s="9"/>
      <c r="K51" s="10"/>
      <c r="L51" s="11" t="str">
        <f aca="false">IF(OR(B51="",C51=""),"",(C51-B51)/B51)</f>
        <v/>
      </c>
      <c r="M51" s="12" t="str">
        <f aca="false">IF(L51="","",IF(ABS(L51)&lt;MinDrive,"kein Trade",IF(L51&gt;0,"Short","Long")))</f>
        <v/>
      </c>
      <c r="N51" s="12" t="str">
        <f aca="false">IF(OR(M51="",M51="kein Trade"),"",IF(H51="","kein Signal","Trade"))</f>
        <v/>
      </c>
      <c r="O51" s="13" t="str">
        <f aca="false">IF(N51&lt;&gt;"Trade","",IF(M51="Short",D51,E51))</f>
        <v/>
      </c>
      <c r="P51" s="13" t="str">
        <f aca="false">IF(N51&lt;&gt;"Trade","",ABS(H51-O51))</f>
        <v/>
      </c>
      <c r="Q51" s="13" t="str">
        <f aca="false">IF(N51&lt;&gt;"Trade","",H51+IF(M51="Long",1,-1)*ZielR*P51)</f>
        <v/>
      </c>
      <c r="R51" s="13" t="str">
        <f aca="false">IF(OR(N51&lt;&gt;"Trade",I51=""),"",IF(I51="Ziel",Q51,IF(I51="Stop",O51,IF(J51="","",J51))))</f>
        <v/>
      </c>
      <c r="S51" s="13" t="str">
        <f aca="false">IF(R51="","",(R51-H51)*IF(M51="Long",1,-1)-2*Slippage)</f>
        <v/>
      </c>
      <c r="T51" s="14" t="str">
        <f aca="false">IF(OR(S51="",P51=0),"",S51/P51)</f>
        <v/>
      </c>
      <c r="U51" s="15" t="str">
        <f aca="false">IF(S51="","",S51*Punktwert*Kontrakte-Kommission*Kontrakte)</f>
        <v/>
      </c>
      <c r="V51" s="15" t="str">
        <f aca="false">IF(U51="","",SUM($U$5:U51))</f>
        <v/>
      </c>
      <c r="W51" s="15" t="str">
        <f aca="false">IF(V51="","",MAX(0,MAX($V$5:V51)))</f>
        <v/>
      </c>
      <c r="X51" s="15" t="str">
        <f aca="false">IF(V51="","",V51-W51)</f>
        <v/>
      </c>
      <c r="Y51" s="12" t="str">
        <f aca="false">IF(N51&lt;&gt;"Trade","",IF(P51=0,"Stop = Einstieg?",IF(I51="","Ergebnis eintragen",IF(AND(I51="Zeit",J51=""),"Kurs 11:30 fehlt",IF(OR(AND(M51="Short",H51&gt;F51),AND(M51="Long",H51&lt;G51)),"Einstieg prüfen","ok")))))</f>
        <v/>
      </c>
      <c r="Z51" s="16" t="str">
        <f aca="false">IF(A51="","",WEEKDAY(A51,2))</f>
        <v/>
      </c>
    </row>
    <row r="52" customFormat="false" ht="15" hidden="false" customHeight="false" outlineLevel="0" collapsed="false">
      <c r="A52" s="8"/>
      <c r="B52" s="9"/>
      <c r="C52" s="9"/>
      <c r="D52" s="9"/>
      <c r="E52" s="9"/>
      <c r="F52" s="9"/>
      <c r="G52" s="9"/>
      <c r="H52" s="9"/>
      <c r="I52" s="10"/>
      <c r="J52" s="9"/>
      <c r="K52" s="10"/>
      <c r="L52" s="11" t="str">
        <f aca="false">IF(OR(B52="",C52=""),"",(C52-B52)/B52)</f>
        <v/>
      </c>
      <c r="M52" s="12" t="str">
        <f aca="false">IF(L52="","",IF(ABS(L52)&lt;MinDrive,"kein Trade",IF(L52&gt;0,"Short","Long")))</f>
        <v/>
      </c>
      <c r="N52" s="12" t="str">
        <f aca="false">IF(OR(M52="",M52="kein Trade"),"",IF(H52="","kein Signal","Trade"))</f>
        <v/>
      </c>
      <c r="O52" s="13" t="str">
        <f aca="false">IF(N52&lt;&gt;"Trade","",IF(M52="Short",D52,E52))</f>
        <v/>
      </c>
      <c r="P52" s="13" t="str">
        <f aca="false">IF(N52&lt;&gt;"Trade","",ABS(H52-O52))</f>
        <v/>
      </c>
      <c r="Q52" s="13" t="str">
        <f aca="false">IF(N52&lt;&gt;"Trade","",H52+IF(M52="Long",1,-1)*ZielR*P52)</f>
        <v/>
      </c>
      <c r="R52" s="13" t="str">
        <f aca="false">IF(OR(N52&lt;&gt;"Trade",I52=""),"",IF(I52="Ziel",Q52,IF(I52="Stop",O52,IF(J52="","",J52))))</f>
        <v/>
      </c>
      <c r="S52" s="13" t="str">
        <f aca="false">IF(R52="","",(R52-H52)*IF(M52="Long",1,-1)-2*Slippage)</f>
        <v/>
      </c>
      <c r="T52" s="14" t="str">
        <f aca="false">IF(OR(S52="",P52=0),"",S52/P52)</f>
        <v/>
      </c>
      <c r="U52" s="15" t="str">
        <f aca="false">IF(S52="","",S52*Punktwert*Kontrakte-Kommission*Kontrakte)</f>
        <v/>
      </c>
      <c r="V52" s="15" t="str">
        <f aca="false">IF(U52="","",SUM($U$5:U52))</f>
        <v/>
      </c>
      <c r="W52" s="15" t="str">
        <f aca="false">IF(V52="","",MAX(0,MAX($V$5:V52)))</f>
        <v/>
      </c>
      <c r="X52" s="15" t="str">
        <f aca="false">IF(V52="","",V52-W52)</f>
        <v/>
      </c>
      <c r="Y52" s="12" t="str">
        <f aca="false">IF(N52&lt;&gt;"Trade","",IF(P52=0,"Stop = Einstieg?",IF(I52="","Ergebnis eintragen",IF(AND(I52="Zeit",J52=""),"Kurs 11:30 fehlt",IF(OR(AND(M52="Short",H52&gt;F52),AND(M52="Long",H52&lt;G52)),"Einstieg prüfen","ok")))))</f>
        <v/>
      </c>
      <c r="Z52" s="16" t="str">
        <f aca="false">IF(A52="","",WEEKDAY(A52,2))</f>
        <v/>
      </c>
    </row>
    <row r="53" customFormat="false" ht="15" hidden="false" customHeight="false" outlineLevel="0" collapsed="false">
      <c r="A53" s="8"/>
      <c r="B53" s="9"/>
      <c r="C53" s="9"/>
      <c r="D53" s="9"/>
      <c r="E53" s="9"/>
      <c r="F53" s="9"/>
      <c r="G53" s="9"/>
      <c r="H53" s="9"/>
      <c r="I53" s="10"/>
      <c r="J53" s="9"/>
      <c r="K53" s="10"/>
      <c r="L53" s="11" t="str">
        <f aca="false">IF(OR(B53="",C53=""),"",(C53-B53)/B53)</f>
        <v/>
      </c>
      <c r="M53" s="12" t="str">
        <f aca="false">IF(L53="","",IF(ABS(L53)&lt;MinDrive,"kein Trade",IF(L53&gt;0,"Short","Long")))</f>
        <v/>
      </c>
      <c r="N53" s="12" t="str">
        <f aca="false">IF(OR(M53="",M53="kein Trade"),"",IF(H53="","kein Signal","Trade"))</f>
        <v/>
      </c>
      <c r="O53" s="13" t="str">
        <f aca="false">IF(N53&lt;&gt;"Trade","",IF(M53="Short",D53,E53))</f>
        <v/>
      </c>
      <c r="P53" s="13" t="str">
        <f aca="false">IF(N53&lt;&gt;"Trade","",ABS(H53-O53))</f>
        <v/>
      </c>
      <c r="Q53" s="13" t="str">
        <f aca="false">IF(N53&lt;&gt;"Trade","",H53+IF(M53="Long",1,-1)*ZielR*P53)</f>
        <v/>
      </c>
      <c r="R53" s="13" t="str">
        <f aca="false">IF(OR(N53&lt;&gt;"Trade",I53=""),"",IF(I53="Ziel",Q53,IF(I53="Stop",O53,IF(J53="","",J53))))</f>
        <v/>
      </c>
      <c r="S53" s="13" t="str">
        <f aca="false">IF(R53="","",(R53-H53)*IF(M53="Long",1,-1)-2*Slippage)</f>
        <v/>
      </c>
      <c r="T53" s="14" t="str">
        <f aca="false">IF(OR(S53="",P53=0),"",S53/P53)</f>
        <v/>
      </c>
      <c r="U53" s="15" t="str">
        <f aca="false">IF(S53="","",S53*Punktwert*Kontrakte-Kommission*Kontrakte)</f>
        <v/>
      </c>
      <c r="V53" s="15" t="str">
        <f aca="false">IF(U53="","",SUM($U$5:U53))</f>
        <v/>
      </c>
      <c r="W53" s="15" t="str">
        <f aca="false">IF(V53="","",MAX(0,MAX($V$5:V53)))</f>
        <v/>
      </c>
      <c r="X53" s="15" t="str">
        <f aca="false">IF(V53="","",V53-W53)</f>
        <v/>
      </c>
      <c r="Y53" s="12" t="str">
        <f aca="false">IF(N53&lt;&gt;"Trade","",IF(P53=0,"Stop = Einstieg?",IF(I53="","Ergebnis eintragen",IF(AND(I53="Zeit",J53=""),"Kurs 11:30 fehlt",IF(OR(AND(M53="Short",H53&gt;F53),AND(M53="Long",H53&lt;G53)),"Einstieg prüfen","ok")))))</f>
        <v/>
      </c>
      <c r="Z53" s="16" t="str">
        <f aca="false">IF(A53="","",WEEKDAY(A53,2))</f>
        <v/>
      </c>
    </row>
    <row r="54" customFormat="false" ht="15" hidden="false" customHeight="false" outlineLevel="0" collapsed="false">
      <c r="A54" s="8"/>
      <c r="B54" s="9"/>
      <c r="C54" s="9"/>
      <c r="D54" s="9"/>
      <c r="E54" s="9"/>
      <c r="F54" s="9"/>
      <c r="G54" s="9"/>
      <c r="H54" s="9"/>
      <c r="I54" s="10"/>
      <c r="J54" s="9"/>
      <c r="K54" s="10"/>
      <c r="L54" s="11" t="str">
        <f aca="false">IF(OR(B54="",C54=""),"",(C54-B54)/B54)</f>
        <v/>
      </c>
      <c r="M54" s="12" t="str">
        <f aca="false">IF(L54="","",IF(ABS(L54)&lt;MinDrive,"kein Trade",IF(L54&gt;0,"Short","Long")))</f>
        <v/>
      </c>
      <c r="N54" s="12" t="str">
        <f aca="false">IF(OR(M54="",M54="kein Trade"),"",IF(H54="","kein Signal","Trade"))</f>
        <v/>
      </c>
      <c r="O54" s="13" t="str">
        <f aca="false">IF(N54&lt;&gt;"Trade","",IF(M54="Short",D54,E54))</f>
        <v/>
      </c>
      <c r="P54" s="13" t="str">
        <f aca="false">IF(N54&lt;&gt;"Trade","",ABS(H54-O54))</f>
        <v/>
      </c>
      <c r="Q54" s="13" t="str">
        <f aca="false">IF(N54&lt;&gt;"Trade","",H54+IF(M54="Long",1,-1)*ZielR*P54)</f>
        <v/>
      </c>
      <c r="R54" s="13" t="str">
        <f aca="false">IF(OR(N54&lt;&gt;"Trade",I54=""),"",IF(I54="Ziel",Q54,IF(I54="Stop",O54,IF(J54="","",J54))))</f>
        <v/>
      </c>
      <c r="S54" s="13" t="str">
        <f aca="false">IF(R54="","",(R54-H54)*IF(M54="Long",1,-1)-2*Slippage)</f>
        <v/>
      </c>
      <c r="T54" s="14" t="str">
        <f aca="false">IF(OR(S54="",P54=0),"",S54/P54)</f>
        <v/>
      </c>
      <c r="U54" s="15" t="str">
        <f aca="false">IF(S54="","",S54*Punktwert*Kontrakte-Kommission*Kontrakte)</f>
        <v/>
      </c>
      <c r="V54" s="15" t="str">
        <f aca="false">IF(U54="","",SUM($U$5:U54))</f>
        <v/>
      </c>
      <c r="W54" s="15" t="str">
        <f aca="false">IF(V54="","",MAX(0,MAX($V$5:V54)))</f>
        <v/>
      </c>
      <c r="X54" s="15" t="str">
        <f aca="false">IF(V54="","",V54-W54)</f>
        <v/>
      </c>
      <c r="Y54" s="12" t="str">
        <f aca="false">IF(N54&lt;&gt;"Trade","",IF(P54=0,"Stop = Einstieg?",IF(I54="","Ergebnis eintragen",IF(AND(I54="Zeit",J54=""),"Kurs 11:30 fehlt",IF(OR(AND(M54="Short",H54&gt;F54),AND(M54="Long",H54&lt;G54)),"Einstieg prüfen","ok")))))</f>
        <v/>
      </c>
      <c r="Z54" s="16" t="str">
        <f aca="false">IF(A54="","",WEEKDAY(A54,2))</f>
        <v/>
      </c>
    </row>
    <row r="55" customFormat="false" ht="15" hidden="false" customHeight="false" outlineLevel="0" collapsed="false">
      <c r="A55" s="8"/>
      <c r="B55" s="9"/>
      <c r="C55" s="9"/>
      <c r="D55" s="9"/>
      <c r="E55" s="9"/>
      <c r="F55" s="9"/>
      <c r="G55" s="9"/>
      <c r="H55" s="9"/>
      <c r="I55" s="10"/>
      <c r="J55" s="9"/>
      <c r="K55" s="10"/>
      <c r="L55" s="11" t="str">
        <f aca="false">IF(OR(B55="",C55=""),"",(C55-B55)/B55)</f>
        <v/>
      </c>
      <c r="M55" s="12" t="str">
        <f aca="false">IF(L55="","",IF(ABS(L55)&lt;MinDrive,"kein Trade",IF(L55&gt;0,"Short","Long")))</f>
        <v/>
      </c>
      <c r="N55" s="12" t="str">
        <f aca="false">IF(OR(M55="",M55="kein Trade"),"",IF(H55="","kein Signal","Trade"))</f>
        <v/>
      </c>
      <c r="O55" s="13" t="str">
        <f aca="false">IF(N55&lt;&gt;"Trade","",IF(M55="Short",D55,E55))</f>
        <v/>
      </c>
      <c r="P55" s="13" t="str">
        <f aca="false">IF(N55&lt;&gt;"Trade","",ABS(H55-O55))</f>
        <v/>
      </c>
      <c r="Q55" s="13" t="str">
        <f aca="false">IF(N55&lt;&gt;"Trade","",H55+IF(M55="Long",1,-1)*ZielR*P55)</f>
        <v/>
      </c>
      <c r="R55" s="13" t="str">
        <f aca="false">IF(OR(N55&lt;&gt;"Trade",I55=""),"",IF(I55="Ziel",Q55,IF(I55="Stop",O55,IF(J55="","",J55))))</f>
        <v/>
      </c>
      <c r="S55" s="13" t="str">
        <f aca="false">IF(R55="","",(R55-H55)*IF(M55="Long",1,-1)-2*Slippage)</f>
        <v/>
      </c>
      <c r="T55" s="14" t="str">
        <f aca="false">IF(OR(S55="",P55=0),"",S55/P55)</f>
        <v/>
      </c>
      <c r="U55" s="15" t="str">
        <f aca="false">IF(S55="","",S55*Punktwert*Kontrakte-Kommission*Kontrakte)</f>
        <v/>
      </c>
      <c r="V55" s="15" t="str">
        <f aca="false">IF(U55="","",SUM($U$5:U55))</f>
        <v/>
      </c>
      <c r="W55" s="15" t="str">
        <f aca="false">IF(V55="","",MAX(0,MAX($V$5:V55)))</f>
        <v/>
      </c>
      <c r="X55" s="15" t="str">
        <f aca="false">IF(V55="","",V55-W55)</f>
        <v/>
      </c>
      <c r="Y55" s="12" t="str">
        <f aca="false">IF(N55&lt;&gt;"Trade","",IF(P55=0,"Stop = Einstieg?",IF(I55="","Ergebnis eintragen",IF(AND(I55="Zeit",J55=""),"Kurs 11:30 fehlt",IF(OR(AND(M55="Short",H55&gt;F55),AND(M55="Long",H55&lt;G55)),"Einstieg prüfen","ok")))))</f>
        <v/>
      </c>
      <c r="Z55" s="16" t="str">
        <f aca="false">IF(A55="","",WEEKDAY(A55,2))</f>
        <v/>
      </c>
    </row>
    <row r="56" customFormat="false" ht="15" hidden="false" customHeight="false" outlineLevel="0" collapsed="false">
      <c r="A56" s="8"/>
      <c r="B56" s="9"/>
      <c r="C56" s="9"/>
      <c r="D56" s="9"/>
      <c r="E56" s="9"/>
      <c r="F56" s="9"/>
      <c r="G56" s="9"/>
      <c r="H56" s="9"/>
      <c r="I56" s="10"/>
      <c r="J56" s="9"/>
      <c r="K56" s="10"/>
      <c r="L56" s="11" t="str">
        <f aca="false">IF(OR(B56="",C56=""),"",(C56-B56)/B56)</f>
        <v/>
      </c>
      <c r="M56" s="12" t="str">
        <f aca="false">IF(L56="","",IF(ABS(L56)&lt;MinDrive,"kein Trade",IF(L56&gt;0,"Short","Long")))</f>
        <v/>
      </c>
      <c r="N56" s="12" t="str">
        <f aca="false">IF(OR(M56="",M56="kein Trade"),"",IF(H56="","kein Signal","Trade"))</f>
        <v/>
      </c>
      <c r="O56" s="13" t="str">
        <f aca="false">IF(N56&lt;&gt;"Trade","",IF(M56="Short",D56,E56))</f>
        <v/>
      </c>
      <c r="P56" s="13" t="str">
        <f aca="false">IF(N56&lt;&gt;"Trade","",ABS(H56-O56))</f>
        <v/>
      </c>
      <c r="Q56" s="13" t="str">
        <f aca="false">IF(N56&lt;&gt;"Trade","",H56+IF(M56="Long",1,-1)*ZielR*P56)</f>
        <v/>
      </c>
      <c r="R56" s="13" t="str">
        <f aca="false">IF(OR(N56&lt;&gt;"Trade",I56=""),"",IF(I56="Ziel",Q56,IF(I56="Stop",O56,IF(J56="","",J56))))</f>
        <v/>
      </c>
      <c r="S56" s="13" t="str">
        <f aca="false">IF(R56="","",(R56-H56)*IF(M56="Long",1,-1)-2*Slippage)</f>
        <v/>
      </c>
      <c r="T56" s="14" t="str">
        <f aca="false">IF(OR(S56="",P56=0),"",S56/P56)</f>
        <v/>
      </c>
      <c r="U56" s="15" t="str">
        <f aca="false">IF(S56="","",S56*Punktwert*Kontrakte-Kommission*Kontrakte)</f>
        <v/>
      </c>
      <c r="V56" s="15" t="str">
        <f aca="false">IF(U56="","",SUM($U$5:U56))</f>
        <v/>
      </c>
      <c r="W56" s="15" t="str">
        <f aca="false">IF(V56="","",MAX(0,MAX($V$5:V56)))</f>
        <v/>
      </c>
      <c r="X56" s="15" t="str">
        <f aca="false">IF(V56="","",V56-W56)</f>
        <v/>
      </c>
      <c r="Y56" s="12" t="str">
        <f aca="false">IF(N56&lt;&gt;"Trade","",IF(P56=0,"Stop = Einstieg?",IF(I56="","Ergebnis eintragen",IF(AND(I56="Zeit",J56=""),"Kurs 11:30 fehlt",IF(OR(AND(M56="Short",H56&gt;F56),AND(M56="Long",H56&lt;G56)),"Einstieg prüfen","ok")))))</f>
        <v/>
      </c>
      <c r="Z56" s="16" t="str">
        <f aca="false">IF(A56="","",WEEKDAY(A56,2))</f>
        <v/>
      </c>
    </row>
    <row r="57" customFormat="false" ht="15" hidden="false" customHeight="false" outlineLevel="0" collapsed="false">
      <c r="A57" s="8"/>
      <c r="B57" s="9"/>
      <c r="C57" s="9"/>
      <c r="D57" s="9"/>
      <c r="E57" s="9"/>
      <c r="F57" s="9"/>
      <c r="G57" s="9"/>
      <c r="H57" s="9"/>
      <c r="I57" s="10"/>
      <c r="J57" s="9"/>
      <c r="K57" s="10"/>
      <c r="L57" s="11" t="str">
        <f aca="false">IF(OR(B57="",C57=""),"",(C57-B57)/B57)</f>
        <v/>
      </c>
      <c r="M57" s="12" t="str">
        <f aca="false">IF(L57="","",IF(ABS(L57)&lt;MinDrive,"kein Trade",IF(L57&gt;0,"Short","Long")))</f>
        <v/>
      </c>
      <c r="N57" s="12" t="str">
        <f aca="false">IF(OR(M57="",M57="kein Trade"),"",IF(H57="","kein Signal","Trade"))</f>
        <v/>
      </c>
      <c r="O57" s="13" t="str">
        <f aca="false">IF(N57&lt;&gt;"Trade","",IF(M57="Short",D57,E57))</f>
        <v/>
      </c>
      <c r="P57" s="13" t="str">
        <f aca="false">IF(N57&lt;&gt;"Trade","",ABS(H57-O57))</f>
        <v/>
      </c>
      <c r="Q57" s="13" t="str">
        <f aca="false">IF(N57&lt;&gt;"Trade","",H57+IF(M57="Long",1,-1)*ZielR*P57)</f>
        <v/>
      </c>
      <c r="R57" s="13" t="str">
        <f aca="false">IF(OR(N57&lt;&gt;"Trade",I57=""),"",IF(I57="Ziel",Q57,IF(I57="Stop",O57,IF(J57="","",J57))))</f>
        <v/>
      </c>
      <c r="S57" s="13" t="str">
        <f aca="false">IF(R57="","",(R57-H57)*IF(M57="Long",1,-1)-2*Slippage)</f>
        <v/>
      </c>
      <c r="T57" s="14" t="str">
        <f aca="false">IF(OR(S57="",P57=0),"",S57/P57)</f>
        <v/>
      </c>
      <c r="U57" s="15" t="str">
        <f aca="false">IF(S57="","",S57*Punktwert*Kontrakte-Kommission*Kontrakte)</f>
        <v/>
      </c>
      <c r="V57" s="15" t="str">
        <f aca="false">IF(U57="","",SUM($U$5:U57))</f>
        <v/>
      </c>
      <c r="W57" s="15" t="str">
        <f aca="false">IF(V57="","",MAX(0,MAX($V$5:V57)))</f>
        <v/>
      </c>
      <c r="X57" s="15" t="str">
        <f aca="false">IF(V57="","",V57-W57)</f>
        <v/>
      </c>
      <c r="Y57" s="12" t="str">
        <f aca="false">IF(N57&lt;&gt;"Trade","",IF(P57=0,"Stop = Einstieg?",IF(I57="","Ergebnis eintragen",IF(AND(I57="Zeit",J57=""),"Kurs 11:30 fehlt",IF(OR(AND(M57="Short",H57&gt;F57),AND(M57="Long",H57&lt;G57)),"Einstieg prüfen","ok")))))</f>
        <v/>
      </c>
      <c r="Z57" s="16" t="str">
        <f aca="false">IF(A57="","",WEEKDAY(A57,2))</f>
        <v/>
      </c>
    </row>
    <row r="58" customFormat="false" ht="15" hidden="false" customHeight="false" outlineLevel="0" collapsed="false">
      <c r="A58" s="8"/>
      <c r="B58" s="9"/>
      <c r="C58" s="9"/>
      <c r="D58" s="9"/>
      <c r="E58" s="9"/>
      <c r="F58" s="9"/>
      <c r="G58" s="9"/>
      <c r="H58" s="9"/>
      <c r="I58" s="10"/>
      <c r="J58" s="9"/>
      <c r="K58" s="10"/>
      <c r="L58" s="11" t="str">
        <f aca="false">IF(OR(B58="",C58=""),"",(C58-B58)/B58)</f>
        <v/>
      </c>
      <c r="M58" s="12" t="str">
        <f aca="false">IF(L58="","",IF(ABS(L58)&lt;MinDrive,"kein Trade",IF(L58&gt;0,"Short","Long")))</f>
        <v/>
      </c>
      <c r="N58" s="12" t="str">
        <f aca="false">IF(OR(M58="",M58="kein Trade"),"",IF(H58="","kein Signal","Trade"))</f>
        <v/>
      </c>
      <c r="O58" s="13" t="str">
        <f aca="false">IF(N58&lt;&gt;"Trade","",IF(M58="Short",D58,E58))</f>
        <v/>
      </c>
      <c r="P58" s="13" t="str">
        <f aca="false">IF(N58&lt;&gt;"Trade","",ABS(H58-O58))</f>
        <v/>
      </c>
      <c r="Q58" s="13" t="str">
        <f aca="false">IF(N58&lt;&gt;"Trade","",H58+IF(M58="Long",1,-1)*ZielR*P58)</f>
        <v/>
      </c>
      <c r="R58" s="13" t="str">
        <f aca="false">IF(OR(N58&lt;&gt;"Trade",I58=""),"",IF(I58="Ziel",Q58,IF(I58="Stop",O58,IF(J58="","",J58))))</f>
        <v/>
      </c>
      <c r="S58" s="13" t="str">
        <f aca="false">IF(R58="","",(R58-H58)*IF(M58="Long",1,-1)-2*Slippage)</f>
        <v/>
      </c>
      <c r="T58" s="14" t="str">
        <f aca="false">IF(OR(S58="",P58=0),"",S58/P58)</f>
        <v/>
      </c>
      <c r="U58" s="15" t="str">
        <f aca="false">IF(S58="","",S58*Punktwert*Kontrakte-Kommission*Kontrakte)</f>
        <v/>
      </c>
      <c r="V58" s="15" t="str">
        <f aca="false">IF(U58="","",SUM($U$5:U58))</f>
        <v/>
      </c>
      <c r="W58" s="15" t="str">
        <f aca="false">IF(V58="","",MAX(0,MAX($V$5:V58)))</f>
        <v/>
      </c>
      <c r="X58" s="15" t="str">
        <f aca="false">IF(V58="","",V58-W58)</f>
        <v/>
      </c>
      <c r="Y58" s="12" t="str">
        <f aca="false">IF(N58&lt;&gt;"Trade","",IF(P58=0,"Stop = Einstieg?",IF(I58="","Ergebnis eintragen",IF(AND(I58="Zeit",J58=""),"Kurs 11:30 fehlt",IF(OR(AND(M58="Short",H58&gt;F58),AND(M58="Long",H58&lt;G58)),"Einstieg prüfen","ok")))))</f>
        <v/>
      </c>
      <c r="Z58" s="16" t="str">
        <f aca="false">IF(A58="","",WEEKDAY(A58,2))</f>
        <v/>
      </c>
    </row>
    <row r="59" customFormat="false" ht="15" hidden="false" customHeight="false" outlineLevel="0" collapsed="false">
      <c r="A59" s="8"/>
      <c r="B59" s="9"/>
      <c r="C59" s="9"/>
      <c r="D59" s="9"/>
      <c r="E59" s="9"/>
      <c r="F59" s="9"/>
      <c r="G59" s="9"/>
      <c r="H59" s="9"/>
      <c r="I59" s="10"/>
      <c r="J59" s="9"/>
      <c r="K59" s="10"/>
      <c r="L59" s="11" t="str">
        <f aca="false">IF(OR(B59="",C59=""),"",(C59-B59)/B59)</f>
        <v/>
      </c>
      <c r="M59" s="12" t="str">
        <f aca="false">IF(L59="","",IF(ABS(L59)&lt;MinDrive,"kein Trade",IF(L59&gt;0,"Short","Long")))</f>
        <v/>
      </c>
      <c r="N59" s="12" t="str">
        <f aca="false">IF(OR(M59="",M59="kein Trade"),"",IF(H59="","kein Signal","Trade"))</f>
        <v/>
      </c>
      <c r="O59" s="13" t="str">
        <f aca="false">IF(N59&lt;&gt;"Trade","",IF(M59="Short",D59,E59))</f>
        <v/>
      </c>
      <c r="P59" s="13" t="str">
        <f aca="false">IF(N59&lt;&gt;"Trade","",ABS(H59-O59))</f>
        <v/>
      </c>
      <c r="Q59" s="13" t="str">
        <f aca="false">IF(N59&lt;&gt;"Trade","",H59+IF(M59="Long",1,-1)*ZielR*P59)</f>
        <v/>
      </c>
      <c r="R59" s="13" t="str">
        <f aca="false">IF(OR(N59&lt;&gt;"Trade",I59=""),"",IF(I59="Ziel",Q59,IF(I59="Stop",O59,IF(J59="","",J59))))</f>
        <v/>
      </c>
      <c r="S59" s="13" t="str">
        <f aca="false">IF(R59="","",(R59-H59)*IF(M59="Long",1,-1)-2*Slippage)</f>
        <v/>
      </c>
      <c r="T59" s="14" t="str">
        <f aca="false">IF(OR(S59="",P59=0),"",S59/P59)</f>
        <v/>
      </c>
      <c r="U59" s="15" t="str">
        <f aca="false">IF(S59="","",S59*Punktwert*Kontrakte-Kommission*Kontrakte)</f>
        <v/>
      </c>
      <c r="V59" s="15" t="str">
        <f aca="false">IF(U59="","",SUM($U$5:U59))</f>
        <v/>
      </c>
      <c r="W59" s="15" t="str">
        <f aca="false">IF(V59="","",MAX(0,MAX($V$5:V59)))</f>
        <v/>
      </c>
      <c r="X59" s="15" t="str">
        <f aca="false">IF(V59="","",V59-W59)</f>
        <v/>
      </c>
      <c r="Y59" s="12" t="str">
        <f aca="false">IF(N59&lt;&gt;"Trade","",IF(P59=0,"Stop = Einstieg?",IF(I59="","Ergebnis eintragen",IF(AND(I59="Zeit",J59=""),"Kurs 11:30 fehlt",IF(OR(AND(M59="Short",H59&gt;F59),AND(M59="Long",H59&lt;G59)),"Einstieg prüfen","ok")))))</f>
        <v/>
      </c>
      <c r="Z59" s="16" t="str">
        <f aca="false">IF(A59="","",WEEKDAY(A59,2))</f>
        <v/>
      </c>
    </row>
    <row r="60" customFormat="false" ht="15" hidden="false" customHeight="false" outlineLevel="0" collapsed="false">
      <c r="A60" s="8"/>
      <c r="B60" s="9"/>
      <c r="C60" s="9"/>
      <c r="D60" s="9"/>
      <c r="E60" s="9"/>
      <c r="F60" s="9"/>
      <c r="G60" s="9"/>
      <c r="H60" s="9"/>
      <c r="I60" s="10"/>
      <c r="J60" s="9"/>
      <c r="K60" s="10"/>
      <c r="L60" s="11" t="str">
        <f aca="false">IF(OR(B60="",C60=""),"",(C60-B60)/B60)</f>
        <v/>
      </c>
      <c r="M60" s="12" t="str">
        <f aca="false">IF(L60="","",IF(ABS(L60)&lt;MinDrive,"kein Trade",IF(L60&gt;0,"Short","Long")))</f>
        <v/>
      </c>
      <c r="N60" s="12" t="str">
        <f aca="false">IF(OR(M60="",M60="kein Trade"),"",IF(H60="","kein Signal","Trade"))</f>
        <v/>
      </c>
      <c r="O60" s="13" t="str">
        <f aca="false">IF(N60&lt;&gt;"Trade","",IF(M60="Short",D60,E60))</f>
        <v/>
      </c>
      <c r="P60" s="13" t="str">
        <f aca="false">IF(N60&lt;&gt;"Trade","",ABS(H60-O60))</f>
        <v/>
      </c>
      <c r="Q60" s="13" t="str">
        <f aca="false">IF(N60&lt;&gt;"Trade","",H60+IF(M60="Long",1,-1)*ZielR*P60)</f>
        <v/>
      </c>
      <c r="R60" s="13" t="str">
        <f aca="false">IF(OR(N60&lt;&gt;"Trade",I60=""),"",IF(I60="Ziel",Q60,IF(I60="Stop",O60,IF(J60="","",J60))))</f>
        <v/>
      </c>
      <c r="S60" s="13" t="str">
        <f aca="false">IF(R60="","",(R60-H60)*IF(M60="Long",1,-1)-2*Slippage)</f>
        <v/>
      </c>
      <c r="T60" s="14" t="str">
        <f aca="false">IF(OR(S60="",P60=0),"",S60/P60)</f>
        <v/>
      </c>
      <c r="U60" s="15" t="str">
        <f aca="false">IF(S60="","",S60*Punktwert*Kontrakte-Kommission*Kontrakte)</f>
        <v/>
      </c>
      <c r="V60" s="15" t="str">
        <f aca="false">IF(U60="","",SUM($U$5:U60))</f>
        <v/>
      </c>
      <c r="W60" s="15" t="str">
        <f aca="false">IF(V60="","",MAX(0,MAX($V$5:V60)))</f>
        <v/>
      </c>
      <c r="X60" s="15" t="str">
        <f aca="false">IF(V60="","",V60-W60)</f>
        <v/>
      </c>
      <c r="Y60" s="12" t="str">
        <f aca="false">IF(N60&lt;&gt;"Trade","",IF(P60=0,"Stop = Einstieg?",IF(I60="","Ergebnis eintragen",IF(AND(I60="Zeit",J60=""),"Kurs 11:30 fehlt",IF(OR(AND(M60="Short",H60&gt;F60),AND(M60="Long",H60&lt;G60)),"Einstieg prüfen","ok")))))</f>
        <v/>
      </c>
      <c r="Z60" s="16" t="str">
        <f aca="false">IF(A60="","",WEEKDAY(A60,2))</f>
        <v/>
      </c>
    </row>
    <row r="61" customFormat="false" ht="15" hidden="false" customHeight="false" outlineLevel="0" collapsed="false">
      <c r="A61" s="8"/>
      <c r="B61" s="9"/>
      <c r="C61" s="9"/>
      <c r="D61" s="9"/>
      <c r="E61" s="9"/>
      <c r="F61" s="9"/>
      <c r="G61" s="9"/>
      <c r="H61" s="9"/>
      <c r="I61" s="10"/>
      <c r="J61" s="9"/>
      <c r="K61" s="10"/>
      <c r="L61" s="11" t="str">
        <f aca="false">IF(OR(B61="",C61=""),"",(C61-B61)/B61)</f>
        <v/>
      </c>
      <c r="M61" s="12" t="str">
        <f aca="false">IF(L61="","",IF(ABS(L61)&lt;MinDrive,"kein Trade",IF(L61&gt;0,"Short","Long")))</f>
        <v/>
      </c>
      <c r="N61" s="12" t="str">
        <f aca="false">IF(OR(M61="",M61="kein Trade"),"",IF(H61="","kein Signal","Trade"))</f>
        <v/>
      </c>
      <c r="O61" s="13" t="str">
        <f aca="false">IF(N61&lt;&gt;"Trade","",IF(M61="Short",D61,E61))</f>
        <v/>
      </c>
      <c r="P61" s="13" t="str">
        <f aca="false">IF(N61&lt;&gt;"Trade","",ABS(H61-O61))</f>
        <v/>
      </c>
      <c r="Q61" s="13" t="str">
        <f aca="false">IF(N61&lt;&gt;"Trade","",H61+IF(M61="Long",1,-1)*ZielR*P61)</f>
        <v/>
      </c>
      <c r="R61" s="13" t="str">
        <f aca="false">IF(OR(N61&lt;&gt;"Trade",I61=""),"",IF(I61="Ziel",Q61,IF(I61="Stop",O61,IF(J61="","",J61))))</f>
        <v/>
      </c>
      <c r="S61" s="13" t="str">
        <f aca="false">IF(R61="","",(R61-H61)*IF(M61="Long",1,-1)-2*Slippage)</f>
        <v/>
      </c>
      <c r="T61" s="14" t="str">
        <f aca="false">IF(OR(S61="",P61=0),"",S61/P61)</f>
        <v/>
      </c>
      <c r="U61" s="15" t="str">
        <f aca="false">IF(S61="","",S61*Punktwert*Kontrakte-Kommission*Kontrakte)</f>
        <v/>
      </c>
      <c r="V61" s="15" t="str">
        <f aca="false">IF(U61="","",SUM($U$5:U61))</f>
        <v/>
      </c>
      <c r="W61" s="15" t="str">
        <f aca="false">IF(V61="","",MAX(0,MAX($V$5:V61)))</f>
        <v/>
      </c>
      <c r="X61" s="15" t="str">
        <f aca="false">IF(V61="","",V61-W61)</f>
        <v/>
      </c>
      <c r="Y61" s="12" t="str">
        <f aca="false">IF(N61&lt;&gt;"Trade","",IF(P61=0,"Stop = Einstieg?",IF(I61="","Ergebnis eintragen",IF(AND(I61="Zeit",J61=""),"Kurs 11:30 fehlt",IF(OR(AND(M61="Short",H61&gt;F61),AND(M61="Long",H61&lt;G61)),"Einstieg prüfen","ok")))))</f>
        <v/>
      </c>
      <c r="Z61" s="16" t="str">
        <f aca="false">IF(A61="","",WEEKDAY(A61,2))</f>
        <v/>
      </c>
    </row>
    <row r="62" customFormat="false" ht="15" hidden="false" customHeight="false" outlineLevel="0" collapsed="false">
      <c r="A62" s="8"/>
      <c r="B62" s="9"/>
      <c r="C62" s="9"/>
      <c r="D62" s="9"/>
      <c r="E62" s="9"/>
      <c r="F62" s="9"/>
      <c r="G62" s="9"/>
      <c r="H62" s="9"/>
      <c r="I62" s="10"/>
      <c r="J62" s="9"/>
      <c r="K62" s="10"/>
      <c r="L62" s="11" t="str">
        <f aca="false">IF(OR(B62="",C62=""),"",(C62-B62)/B62)</f>
        <v/>
      </c>
      <c r="M62" s="12" t="str">
        <f aca="false">IF(L62="","",IF(ABS(L62)&lt;MinDrive,"kein Trade",IF(L62&gt;0,"Short","Long")))</f>
        <v/>
      </c>
      <c r="N62" s="12" t="str">
        <f aca="false">IF(OR(M62="",M62="kein Trade"),"",IF(H62="","kein Signal","Trade"))</f>
        <v/>
      </c>
      <c r="O62" s="13" t="str">
        <f aca="false">IF(N62&lt;&gt;"Trade","",IF(M62="Short",D62,E62))</f>
        <v/>
      </c>
      <c r="P62" s="13" t="str">
        <f aca="false">IF(N62&lt;&gt;"Trade","",ABS(H62-O62))</f>
        <v/>
      </c>
      <c r="Q62" s="13" t="str">
        <f aca="false">IF(N62&lt;&gt;"Trade","",H62+IF(M62="Long",1,-1)*ZielR*P62)</f>
        <v/>
      </c>
      <c r="R62" s="13" t="str">
        <f aca="false">IF(OR(N62&lt;&gt;"Trade",I62=""),"",IF(I62="Ziel",Q62,IF(I62="Stop",O62,IF(J62="","",J62))))</f>
        <v/>
      </c>
      <c r="S62" s="13" t="str">
        <f aca="false">IF(R62="","",(R62-H62)*IF(M62="Long",1,-1)-2*Slippage)</f>
        <v/>
      </c>
      <c r="T62" s="14" t="str">
        <f aca="false">IF(OR(S62="",P62=0),"",S62/P62)</f>
        <v/>
      </c>
      <c r="U62" s="15" t="str">
        <f aca="false">IF(S62="","",S62*Punktwert*Kontrakte-Kommission*Kontrakte)</f>
        <v/>
      </c>
      <c r="V62" s="15" t="str">
        <f aca="false">IF(U62="","",SUM($U$5:U62))</f>
        <v/>
      </c>
      <c r="W62" s="15" t="str">
        <f aca="false">IF(V62="","",MAX(0,MAX($V$5:V62)))</f>
        <v/>
      </c>
      <c r="X62" s="15" t="str">
        <f aca="false">IF(V62="","",V62-W62)</f>
        <v/>
      </c>
      <c r="Y62" s="12" t="str">
        <f aca="false">IF(N62&lt;&gt;"Trade","",IF(P62=0,"Stop = Einstieg?",IF(I62="","Ergebnis eintragen",IF(AND(I62="Zeit",J62=""),"Kurs 11:30 fehlt",IF(OR(AND(M62="Short",H62&gt;F62),AND(M62="Long",H62&lt;G62)),"Einstieg prüfen","ok")))))</f>
        <v/>
      </c>
      <c r="Z62" s="16" t="str">
        <f aca="false">IF(A62="","",WEEKDAY(A62,2))</f>
        <v/>
      </c>
    </row>
    <row r="63" customFormat="false" ht="15" hidden="false" customHeight="false" outlineLevel="0" collapsed="false">
      <c r="A63" s="8"/>
      <c r="B63" s="9"/>
      <c r="C63" s="9"/>
      <c r="D63" s="9"/>
      <c r="E63" s="9"/>
      <c r="F63" s="9"/>
      <c r="G63" s="9"/>
      <c r="H63" s="9"/>
      <c r="I63" s="10"/>
      <c r="J63" s="9"/>
      <c r="K63" s="10"/>
      <c r="L63" s="11" t="str">
        <f aca="false">IF(OR(B63="",C63=""),"",(C63-B63)/B63)</f>
        <v/>
      </c>
      <c r="M63" s="12" t="str">
        <f aca="false">IF(L63="","",IF(ABS(L63)&lt;MinDrive,"kein Trade",IF(L63&gt;0,"Short","Long")))</f>
        <v/>
      </c>
      <c r="N63" s="12" t="str">
        <f aca="false">IF(OR(M63="",M63="kein Trade"),"",IF(H63="","kein Signal","Trade"))</f>
        <v/>
      </c>
      <c r="O63" s="13" t="str">
        <f aca="false">IF(N63&lt;&gt;"Trade","",IF(M63="Short",D63,E63))</f>
        <v/>
      </c>
      <c r="P63" s="13" t="str">
        <f aca="false">IF(N63&lt;&gt;"Trade","",ABS(H63-O63))</f>
        <v/>
      </c>
      <c r="Q63" s="13" t="str">
        <f aca="false">IF(N63&lt;&gt;"Trade","",H63+IF(M63="Long",1,-1)*ZielR*P63)</f>
        <v/>
      </c>
      <c r="R63" s="13" t="str">
        <f aca="false">IF(OR(N63&lt;&gt;"Trade",I63=""),"",IF(I63="Ziel",Q63,IF(I63="Stop",O63,IF(J63="","",J63))))</f>
        <v/>
      </c>
      <c r="S63" s="13" t="str">
        <f aca="false">IF(R63="","",(R63-H63)*IF(M63="Long",1,-1)-2*Slippage)</f>
        <v/>
      </c>
      <c r="T63" s="14" t="str">
        <f aca="false">IF(OR(S63="",P63=0),"",S63/P63)</f>
        <v/>
      </c>
      <c r="U63" s="15" t="str">
        <f aca="false">IF(S63="","",S63*Punktwert*Kontrakte-Kommission*Kontrakte)</f>
        <v/>
      </c>
      <c r="V63" s="15" t="str">
        <f aca="false">IF(U63="","",SUM($U$5:U63))</f>
        <v/>
      </c>
      <c r="W63" s="15" t="str">
        <f aca="false">IF(V63="","",MAX(0,MAX($V$5:V63)))</f>
        <v/>
      </c>
      <c r="X63" s="15" t="str">
        <f aca="false">IF(V63="","",V63-W63)</f>
        <v/>
      </c>
      <c r="Y63" s="12" t="str">
        <f aca="false">IF(N63&lt;&gt;"Trade","",IF(P63=0,"Stop = Einstieg?",IF(I63="","Ergebnis eintragen",IF(AND(I63="Zeit",J63=""),"Kurs 11:30 fehlt",IF(OR(AND(M63="Short",H63&gt;F63),AND(M63="Long",H63&lt;G63)),"Einstieg prüfen","ok")))))</f>
        <v/>
      </c>
      <c r="Z63" s="16" t="str">
        <f aca="false">IF(A63="","",WEEKDAY(A63,2))</f>
        <v/>
      </c>
    </row>
    <row r="64" customFormat="false" ht="15" hidden="false" customHeight="false" outlineLevel="0" collapsed="false">
      <c r="A64" s="8"/>
      <c r="B64" s="9"/>
      <c r="C64" s="9"/>
      <c r="D64" s="9"/>
      <c r="E64" s="9"/>
      <c r="F64" s="9"/>
      <c r="G64" s="9"/>
      <c r="H64" s="9"/>
      <c r="I64" s="10"/>
      <c r="J64" s="9"/>
      <c r="K64" s="10"/>
      <c r="L64" s="11" t="str">
        <f aca="false">IF(OR(B64="",C64=""),"",(C64-B64)/B64)</f>
        <v/>
      </c>
      <c r="M64" s="12" t="str">
        <f aca="false">IF(L64="","",IF(ABS(L64)&lt;MinDrive,"kein Trade",IF(L64&gt;0,"Short","Long")))</f>
        <v/>
      </c>
      <c r="N64" s="12" t="str">
        <f aca="false">IF(OR(M64="",M64="kein Trade"),"",IF(H64="","kein Signal","Trade"))</f>
        <v/>
      </c>
      <c r="O64" s="13" t="str">
        <f aca="false">IF(N64&lt;&gt;"Trade","",IF(M64="Short",D64,E64))</f>
        <v/>
      </c>
      <c r="P64" s="13" t="str">
        <f aca="false">IF(N64&lt;&gt;"Trade","",ABS(H64-O64))</f>
        <v/>
      </c>
      <c r="Q64" s="13" t="str">
        <f aca="false">IF(N64&lt;&gt;"Trade","",H64+IF(M64="Long",1,-1)*ZielR*P64)</f>
        <v/>
      </c>
      <c r="R64" s="13" t="str">
        <f aca="false">IF(OR(N64&lt;&gt;"Trade",I64=""),"",IF(I64="Ziel",Q64,IF(I64="Stop",O64,IF(J64="","",J64))))</f>
        <v/>
      </c>
      <c r="S64" s="13" t="str">
        <f aca="false">IF(R64="","",(R64-H64)*IF(M64="Long",1,-1)-2*Slippage)</f>
        <v/>
      </c>
      <c r="T64" s="14" t="str">
        <f aca="false">IF(OR(S64="",P64=0),"",S64/P64)</f>
        <v/>
      </c>
      <c r="U64" s="15" t="str">
        <f aca="false">IF(S64="","",S64*Punktwert*Kontrakte-Kommission*Kontrakte)</f>
        <v/>
      </c>
      <c r="V64" s="15" t="str">
        <f aca="false">IF(U64="","",SUM($U$5:U64))</f>
        <v/>
      </c>
      <c r="W64" s="15" t="str">
        <f aca="false">IF(V64="","",MAX(0,MAX($V$5:V64)))</f>
        <v/>
      </c>
      <c r="X64" s="15" t="str">
        <f aca="false">IF(V64="","",V64-W64)</f>
        <v/>
      </c>
      <c r="Y64" s="12" t="str">
        <f aca="false">IF(N64&lt;&gt;"Trade","",IF(P64=0,"Stop = Einstieg?",IF(I64="","Ergebnis eintragen",IF(AND(I64="Zeit",J64=""),"Kurs 11:30 fehlt",IF(OR(AND(M64="Short",H64&gt;F64),AND(M64="Long",H64&lt;G64)),"Einstieg prüfen","ok")))))</f>
        <v/>
      </c>
      <c r="Z64" s="16" t="str">
        <f aca="false">IF(A64="","",WEEKDAY(A64,2))</f>
        <v/>
      </c>
    </row>
    <row r="65" customFormat="false" ht="15" hidden="false" customHeight="false" outlineLevel="0" collapsed="false">
      <c r="A65" s="8"/>
      <c r="B65" s="9"/>
      <c r="C65" s="9"/>
      <c r="D65" s="9"/>
      <c r="E65" s="9"/>
      <c r="F65" s="9"/>
      <c r="G65" s="9"/>
      <c r="H65" s="9"/>
      <c r="I65" s="10"/>
      <c r="J65" s="9"/>
      <c r="K65" s="10"/>
      <c r="L65" s="11" t="str">
        <f aca="false">IF(OR(B65="",C65=""),"",(C65-B65)/B65)</f>
        <v/>
      </c>
      <c r="M65" s="12" t="str">
        <f aca="false">IF(L65="","",IF(ABS(L65)&lt;MinDrive,"kein Trade",IF(L65&gt;0,"Short","Long")))</f>
        <v/>
      </c>
      <c r="N65" s="12" t="str">
        <f aca="false">IF(OR(M65="",M65="kein Trade"),"",IF(H65="","kein Signal","Trade"))</f>
        <v/>
      </c>
      <c r="O65" s="13" t="str">
        <f aca="false">IF(N65&lt;&gt;"Trade","",IF(M65="Short",D65,E65))</f>
        <v/>
      </c>
      <c r="P65" s="13" t="str">
        <f aca="false">IF(N65&lt;&gt;"Trade","",ABS(H65-O65))</f>
        <v/>
      </c>
      <c r="Q65" s="13" t="str">
        <f aca="false">IF(N65&lt;&gt;"Trade","",H65+IF(M65="Long",1,-1)*ZielR*P65)</f>
        <v/>
      </c>
      <c r="R65" s="13" t="str">
        <f aca="false">IF(OR(N65&lt;&gt;"Trade",I65=""),"",IF(I65="Ziel",Q65,IF(I65="Stop",O65,IF(J65="","",J65))))</f>
        <v/>
      </c>
      <c r="S65" s="13" t="str">
        <f aca="false">IF(R65="","",(R65-H65)*IF(M65="Long",1,-1)-2*Slippage)</f>
        <v/>
      </c>
      <c r="T65" s="14" t="str">
        <f aca="false">IF(OR(S65="",P65=0),"",S65/P65)</f>
        <v/>
      </c>
      <c r="U65" s="15" t="str">
        <f aca="false">IF(S65="","",S65*Punktwert*Kontrakte-Kommission*Kontrakte)</f>
        <v/>
      </c>
      <c r="V65" s="15" t="str">
        <f aca="false">IF(U65="","",SUM($U$5:U65))</f>
        <v/>
      </c>
      <c r="W65" s="15" t="str">
        <f aca="false">IF(V65="","",MAX(0,MAX($V$5:V65)))</f>
        <v/>
      </c>
      <c r="X65" s="15" t="str">
        <f aca="false">IF(V65="","",V65-W65)</f>
        <v/>
      </c>
      <c r="Y65" s="12" t="str">
        <f aca="false">IF(N65&lt;&gt;"Trade","",IF(P65=0,"Stop = Einstieg?",IF(I65="","Ergebnis eintragen",IF(AND(I65="Zeit",J65=""),"Kurs 11:30 fehlt",IF(OR(AND(M65="Short",H65&gt;F65),AND(M65="Long",H65&lt;G65)),"Einstieg prüfen","ok")))))</f>
        <v/>
      </c>
      <c r="Z65" s="16" t="str">
        <f aca="false">IF(A65="","",WEEKDAY(A65,2))</f>
        <v/>
      </c>
    </row>
    <row r="66" customFormat="false" ht="15" hidden="false" customHeight="false" outlineLevel="0" collapsed="false">
      <c r="A66" s="8"/>
      <c r="B66" s="9"/>
      <c r="C66" s="9"/>
      <c r="D66" s="9"/>
      <c r="E66" s="9"/>
      <c r="F66" s="9"/>
      <c r="G66" s="9"/>
      <c r="H66" s="9"/>
      <c r="I66" s="10"/>
      <c r="J66" s="9"/>
      <c r="K66" s="10"/>
      <c r="L66" s="11" t="str">
        <f aca="false">IF(OR(B66="",C66=""),"",(C66-B66)/B66)</f>
        <v/>
      </c>
      <c r="M66" s="12" t="str">
        <f aca="false">IF(L66="","",IF(ABS(L66)&lt;MinDrive,"kein Trade",IF(L66&gt;0,"Short","Long")))</f>
        <v/>
      </c>
      <c r="N66" s="12" t="str">
        <f aca="false">IF(OR(M66="",M66="kein Trade"),"",IF(H66="","kein Signal","Trade"))</f>
        <v/>
      </c>
      <c r="O66" s="13" t="str">
        <f aca="false">IF(N66&lt;&gt;"Trade","",IF(M66="Short",D66,E66))</f>
        <v/>
      </c>
      <c r="P66" s="13" t="str">
        <f aca="false">IF(N66&lt;&gt;"Trade","",ABS(H66-O66))</f>
        <v/>
      </c>
      <c r="Q66" s="13" t="str">
        <f aca="false">IF(N66&lt;&gt;"Trade","",H66+IF(M66="Long",1,-1)*ZielR*P66)</f>
        <v/>
      </c>
      <c r="R66" s="13" t="str">
        <f aca="false">IF(OR(N66&lt;&gt;"Trade",I66=""),"",IF(I66="Ziel",Q66,IF(I66="Stop",O66,IF(J66="","",J66))))</f>
        <v/>
      </c>
      <c r="S66" s="13" t="str">
        <f aca="false">IF(R66="","",(R66-H66)*IF(M66="Long",1,-1)-2*Slippage)</f>
        <v/>
      </c>
      <c r="T66" s="14" t="str">
        <f aca="false">IF(OR(S66="",P66=0),"",S66/P66)</f>
        <v/>
      </c>
      <c r="U66" s="15" t="str">
        <f aca="false">IF(S66="","",S66*Punktwert*Kontrakte-Kommission*Kontrakte)</f>
        <v/>
      </c>
      <c r="V66" s="15" t="str">
        <f aca="false">IF(U66="","",SUM($U$5:U66))</f>
        <v/>
      </c>
      <c r="W66" s="15" t="str">
        <f aca="false">IF(V66="","",MAX(0,MAX($V$5:V66)))</f>
        <v/>
      </c>
      <c r="X66" s="15" t="str">
        <f aca="false">IF(V66="","",V66-W66)</f>
        <v/>
      </c>
      <c r="Y66" s="12" t="str">
        <f aca="false">IF(N66&lt;&gt;"Trade","",IF(P66=0,"Stop = Einstieg?",IF(I66="","Ergebnis eintragen",IF(AND(I66="Zeit",J66=""),"Kurs 11:30 fehlt",IF(OR(AND(M66="Short",H66&gt;F66),AND(M66="Long",H66&lt;G66)),"Einstieg prüfen","ok")))))</f>
        <v/>
      </c>
      <c r="Z66" s="16" t="str">
        <f aca="false">IF(A66="","",WEEKDAY(A66,2))</f>
        <v/>
      </c>
    </row>
    <row r="67" customFormat="false" ht="15" hidden="false" customHeight="false" outlineLevel="0" collapsed="false">
      <c r="A67" s="8"/>
      <c r="B67" s="9"/>
      <c r="C67" s="9"/>
      <c r="D67" s="9"/>
      <c r="E67" s="9"/>
      <c r="F67" s="9"/>
      <c r="G67" s="9"/>
      <c r="H67" s="9"/>
      <c r="I67" s="10"/>
      <c r="J67" s="9"/>
      <c r="K67" s="10"/>
      <c r="L67" s="11" t="str">
        <f aca="false">IF(OR(B67="",C67=""),"",(C67-B67)/B67)</f>
        <v/>
      </c>
      <c r="M67" s="12" t="str">
        <f aca="false">IF(L67="","",IF(ABS(L67)&lt;MinDrive,"kein Trade",IF(L67&gt;0,"Short","Long")))</f>
        <v/>
      </c>
      <c r="N67" s="12" t="str">
        <f aca="false">IF(OR(M67="",M67="kein Trade"),"",IF(H67="","kein Signal","Trade"))</f>
        <v/>
      </c>
      <c r="O67" s="13" t="str">
        <f aca="false">IF(N67&lt;&gt;"Trade","",IF(M67="Short",D67,E67))</f>
        <v/>
      </c>
      <c r="P67" s="13" t="str">
        <f aca="false">IF(N67&lt;&gt;"Trade","",ABS(H67-O67))</f>
        <v/>
      </c>
      <c r="Q67" s="13" t="str">
        <f aca="false">IF(N67&lt;&gt;"Trade","",H67+IF(M67="Long",1,-1)*ZielR*P67)</f>
        <v/>
      </c>
      <c r="R67" s="13" t="str">
        <f aca="false">IF(OR(N67&lt;&gt;"Trade",I67=""),"",IF(I67="Ziel",Q67,IF(I67="Stop",O67,IF(J67="","",J67))))</f>
        <v/>
      </c>
      <c r="S67" s="13" t="str">
        <f aca="false">IF(R67="","",(R67-H67)*IF(M67="Long",1,-1)-2*Slippage)</f>
        <v/>
      </c>
      <c r="T67" s="14" t="str">
        <f aca="false">IF(OR(S67="",P67=0),"",S67/P67)</f>
        <v/>
      </c>
      <c r="U67" s="15" t="str">
        <f aca="false">IF(S67="","",S67*Punktwert*Kontrakte-Kommission*Kontrakte)</f>
        <v/>
      </c>
      <c r="V67" s="15" t="str">
        <f aca="false">IF(U67="","",SUM($U$5:U67))</f>
        <v/>
      </c>
      <c r="W67" s="15" t="str">
        <f aca="false">IF(V67="","",MAX(0,MAX($V$5:V67)))</f>
        <v/>
      </c>
      <c r="X67" s="15" t="str">
        <f aca="false">IF(V67="","",V67-W67)</f>
        <v/>
      </c>
      <c r="Y67" s="12" t="str">
        <f aca="false">IF(N67&lt;&gt;"Trade","",IF(P67=0,"Stop = Einstieg?",IF(I67="","Ergebnis eintragen",IF(AND(I67="Zeit",J67=""),"Kurs 11:30 fehlt",IF(OR(AND(M67="Short",H67&gt;F67),AND(M67="Long",H67&lt;G67)),"Einstieg prüfen","ok")))))</f>
        <v/>
      </c>
      <c r="Z67" s="16" t="str">
        <f aca="false">IF(A67="","",WEEKDAY(A67,2))</f>
        <v/>
      </c>
    </row>
    <row r="68" customFormat="false" ht="15" hidden="false" customHeight="false" outlineLevel="0" collapsed="false">
      <c r="A68" s="8"/>
      <c r="B68" s="9"/>
      <c r="C68" s="9"/>
      <c r="D68" s="9"/>
      <c r="E68" s="9"/>
      <c r="F68" s="9"/>
      <c r="G68" s="9"/>
      <c r="H68" s="9"/>
      <c r="I68" s="10"/>
      <c r="J68" s="9"/>
      <c r="K68" s="10"/>
      <c r="L68" s="11" t="str">
        <f aca="false">IF(OR(B68="",C68=""),"",(C68-B68)/B68)</f>
        <v/>
      </c>
      <c r="M68" s="12" t="str">
        <f aca="false">IF(L68="","",IF(ABS(L68)&lt;MinDrive,"kein Trade",IF(L68&gt;0,"Short","Long")))</f>
        <v/>
      </c>
      <c r="N68" s="12" t="str">
        <f aca="false">IF(OR(M68="",M68="kein Trade"),"",IF(H68="","kein Signal","Trade"))</f>
        <v/>
      </c>
      <c r="O68" s="13" t="str">
        <f aca="false">IF(N68&lt;&gt;"Trade","",IF(M68="Short",D68,E68))</f>
        <v/>
      </c>
      <c r="P68" s="13" t="str">
        <f aca="false">IF(N68&lt;&gt;"Trade","",ABS(H68-O68))</f>
        <v/>
      </c>
      <c r="Q68" s="13" t="str">
        <f aca="false">IF(N68&lt;&gt;"Trade","",H68+IF(M68="Long",1,-1)*ZielR*P68)</f>
        <v/>
      </c>
      <c r="R68" s="13" t="str">
        <f aca="false">IF(OR(N68&lt;&gt;"Trade",I68=""),"",IF(I68="Ziel",Q68,IF(I68="Stop",O68,IF(J68="","",J68))))</f>
        <v/>
      </c>
      <c r="S68" s="13" t="str">
        <f aca="false">IF(R68="","",(R68-H68)*IF(M68="Long",1,-1)-2*Slippage)</f>
        <v/>
      </c>
      <c r="T68" s="14" t="str">
        <f aca="false">IF(OR(S68="",P68=0),"",S68/P68)</f>
        <v/>
      </c>
      <c r="U68" s="15" t="str">
        <f aca="false">IF(S68="","",S68*Punktwert*Kontrakte-Kommission*Kontrakte)</f>
        <v/>
      </c>
      <c r="V68" s="15" t="str">
        <f aca="false">IF(U68="","",SUM($U$5:U68))</f>
        <v/>
      </c>
      <c r="W68" s="15" t="str">
        <f aca="false">IF(V68="","",MAX(0,MAX($V$5:V68)))</f>
        <v/>
      </c>
      <c r="X68" s="15" t="str">
        <f aca="false">IF(V68="","",V68-W68)</f>
        <v/>
      </c>
      <c r="Y68" s="12" t="str">
        <f aca="false">IF(N68&lt;&gt;"Trade","",IF(P68=0,"Stop = Einstieg?",IF(I68="","Ergebnis eintragen",IF(AND(I68="Zeit",J68=""),"Kurs 11:30 fehlt",IF(OR(AND(M68="Short",H68&gt;F68),AND(M68="Long",H68&lt;G68)),"Einstieg prüfen","ok")))))</f>
        <v/>
      </c>
      <c r="Z68" s="16" t="str">
        <f aca="false">IF(A68="","",WEEKDAY(A68,2))</f>
        <v/>
      </c>
    </row>
    <row r="69" customFormat="false" ht="15" hidden="false" customHeight="false" outlineLevel="0" collapsed="false">
      <c r="A69" s="8"/>
      <c r="B69" s="9"/>
      <c r="C69" s="9"/>
      <c r="D69" s="9"/>
      <c r="E69" s="9"/>
      <c r="F69" s="9"/>
      <c r="G69" s="9"/>
      <c r="H69" s="9"/>
      <c r="I69" s="10"/>
      <c r="J69" s="9"/>
      <c r="K69" s="10"/>
      <c r="L69" s="11" t="str">
        <f aca="false">IF(OR(B69="",C69=""),"",(C69-B69)/B69)</f>
        <v/>
      </c>
      <c r="M69" s="12" t="str">
        <f aca="false">IF(L69="","",IF(ABS(L69)&lt;MinDrive,"kein Trade",IF(L69&gt;0,"Short","Long")))</f>
        <v/>
      </c>
      <c r="N69" s="12" t="str">
        <f aca="false">IF(OR(M69="",M69="kein Trade"),"",IF(H69="","kein Signal","Trade"))</f>
        <v/>
      </c>
      <c r="O69" s="13" t="str">
        <f aca="false">IF(N69&lt;&gt;"Trade","",IF(M69="Short",D69,E69))</f>
        <v/>
      </c>
      <c r="P69" s="13" t="str">
        <f aca="false">IF(N69&lt;&gt;"Trade","",ABS(H69-O69))</f>
        <v/>
      </c>
      <c r="Q69" s="13" t="str">
        <f aca="false">IF(N69&lt;&gt;"Trade","",H69+IF(M69="Long",1,-1)*ZielR*P69)</f>
        <v/>
      </c>
      <c r="R69" s="13" t="str">
        <f aca="false">IF(OR(N69&lt;&gt;"Trade",I69=""),"",IF(I69="Ziel",Q69,IF(I69="Stop",O69,IF(J69="","",J69))))</f>
        <v/>
      </c>
      <c r="S69" s="13" t="str">
        <f aca="false">IF(R69="","",(R69-H69)*IF(M69="Long",1,-1)-2*Slippage)</f>
        <v/>
      </c>
      <c r="T69" s="14" t="str">
        <f aca="false">IF(OR(S69="",P69=0),"",S69/P69)</f>
        <v/>
      </c>
      <c r="U69" s="15" t="str">
        <f aca="false">IF(S69="","",S69*Punktwert*Kontrakte-Kommission*Kontrakte)</f>
        <v/>
      </c>
      <c r="V69" s="15" t="str">
        <f aca="false">IF(U69="","",SUM($U$5:U69))</f>
        <v/>
      </c>
      <c r="W69" s="15" t="str">
        <f aca="false">IF(V69="","",MAX(0,MAX($V$5:V69)))</f>
        <v/>
      </c>
      <c r="X69" s="15" t="str">
        <f aca="false">IF(V69="","",V69-W69)</f>
        <v/>
      </c>
      <c r="Y69" s="12" t="str">
        <f aca="false">IF(N69&lt;&gt;"Trade","",IF(P69=0,"Stop = Einstieg?",IF(I69="","Ergebnis eintragen",IF(AND(I69="Zeit",J69=""),"Kurs 11:30 fehlt",IF(OR(AND(M69="Short",H69&gt;F69),AND(M69="Long",H69&lt;G69)),"Einstieg prüfen","ok")))))</f>
        <v/>
      </c>
      <c r="Z69" s="16" t="str">
        <f aca="false">IF(A69="","",WEEKDAY(A69,2))</f>
        <v/>
      </c>
    </row>
    <row r="70" customFormat="false" ht="15" hidden="false" customHeight="false" outlineLevel="0" collapsed="false">
      <c r="A70" s="8"/>
      <c r="B70" s="9"/>
      <c r="C70" s="9"/>
      <c r="D70" s="9"/>
      <c r="E70" s="9"/>
      <c r="F70" s="9"/>
      <c r="G70" s="9"/>
      <c r="H70" s="9"/>
      <c r="I70" s="10"/>
      <c r="J70" s="9"/>
      <c r="K70" s="10"/>
      <c r="L70" s="11" t="str">
        <f aca="false">IF(OR(B70="",C70=""),"",(C70-B70)/B70)</f>
        <v/>
      </c>
      <c r="M70" s="12" t="str">
        <f aca="false">IF(L70="","",IF(ABS(L70)&lt;MinDrive,"kein Trade",IF(L70&gt;0,"Short","Long")))</f>
        <v/>
      </c>
      <c r="N70" s="12" t="str">
        <f aca="false">IF(OR(M70="",M70="kein Trade"),"",IF(H70="","kein Signal","Trade"))</f>
        <v/>
      </c>
      <c r="O70" s="13" t="str">
        <f aca="false">IF(N70&lt;&gt;"Trade","",IF(M70="Short",D70,E70))</f>
        <v/>
      </c>
      <c r="P70" s="13" t="str">
        <f aca="false">IF(N70&lt;&gt;"Trade","",ABS(H70-O70))</f>
        <v/>
      </c>
      <c r="Q70" s="13" t="str">
        <f aca="false">IF(N70&lt;&gt;"Trade","",H70+IF(M70="Long",1,-1)*ZielR*P70)</f>
        <v/>
      </c>
      <c r="R70" s="13" t="str">
        <f aca="false">IF(OR(N70&lt;&gt;"Trade",I70=""),"",IF(I70="Ziel",Q70,IF(I70="Stop",O70,IF(J70="","",J70))))</f>
        <v/>
      </c>
      <c r="S70" s="13" t="str">
        <f aca="false">IF(R70="","",(R70-H70)*IF(M70="Long",1,-1)-2*Slippage)</f>
        <v/>
      </c>
      <c r="T70" s="14" t="str">
        <f aca="false">IF(OR(S70="",P70=0),"",S70/P70)</f>
        <v/>
      </c>
      <c r="U70" s="15" t="str">
        <f aca="false">IF(S70="","",S70*Punktwert*Kontrakte-Kommission*Kontrakte)</f>
        <v/>
      </c>
      <c r="V70" s="15" t="str">
        <f aca="false">IF(U70="","",SUM($U$5:U70))</f>
        <v/>
      </c>
      <c r="W70" s="15" t="str">
        <f aca="false">IF(V70="","",MAX(0,MAX($V$5:V70)))</f>
        <v/>
      </c>
      <c r="X70" s="15" t="str">
        <f aca="false">IF(V70="","",V70-W70)</f>
        <v/>
      </c>
      <c r="Y70" s="12" t="str">
        <f aca="false">IF(N70&lt;&gt;"Trade","",IF(P70=0,"Stop = Einstieg?",IF(I70="","Ergebnis eintragen",IF(AND(I70="Zeit",J70=""),"Kurs 11:30 fehlt",IF(OR(AND(M70="Short",H70&gt;F70),AND(M70="Long",H70&lt;G70)),"Einstieg prüfen","ok")))))</f>
        <v/>
      </c>
      <c r="Z70" s="16" t="str">
        <f aca="false">IF(A70="","",WEEKDAY(A70,2))</f>
        <v/>
      </c>
    </row>
    <row r="71" customFormat="false" ht="15" hidden="false" customHeight="false" outlineLevel="0" collapsed="false">
      <c r="A71" s="8"/>
      <c r="B71" s="9"/>
      <c r="C71" s="9"/>
      <c r="D71" s="9"/>
      <c r="E71" s="9"/>
      <c r="F71" s="9"/>
      <c r="G71" s="9"/>
      <c r="H71" s="9"/>
      <c r="I71" s="10"/>
      <c r="J71" s="9"/>
      <c r="K71" s="10"/>
      <c r="L71" s="11" t="str">
        <f aca="false">IF(OR(B71="",C71=""),"",(C71-B71)/B71)</f>
        <v/>
      </c>
      <c r="M71" s="12" t="str">
        <f aca="false">IF(L71="","",IF(ABS(L71)&lt;MinDrive,"kein Trade",IF(L71&gt;0,"Short","Long")))</f>
        <v/>
      </c>
      <c r="N71" s="12" t="str">
        <f aca="false">IF(OR(M71="",M71="kein Trade"),"",IF(H71="","kein Signal","Trade"))</f>
        <v/>
      </c>
      <c r="O71" s="13" t="str">
        <f aca="false">IF(N71&lt;&gt;"Trade","",IF(M71="Short",D71,E71))</f>
        <v/>
      </c>
      <c r="P71" s="13" t="str">
        <f aca="false">IF(N71&lt;&gt;"Trade","",ABS(H71-O71))</f>
        <v/>
      </c>
      <c r="Q71" s="13" t="str">
        <f aca="false">IF(N71&lt;&gt;"Trade","",H71+IF(M71="Long",1,-1)*ZielR*P71)</f>
        <v/>
      </c>
      <c r="R71" s="13" t="str">
        <f aca="false">IF(OR(N71&lt;&gt;"Trade",I71=""),"",IF(I71="Ziel",Q71,IF(I71="Stop",O71,IF(J71="","",J71))))</f>
        <v/>
      </c>
      <c r="S71" s="13" t="str">
        <f aca="false">IF(R71="","",(R71-H71)*IF(M71="Long",1,-1)-2*Slippage)</f>
        <v/>
      </c>
      <c r="T71" s="14" t="str">
        <f aca="false">IF(OR(S71="",P71=0),"",S71/P71)</f>
        <v/>
      </c>
      <c r="U71" s="15" t="str">
        <f aca="false">IF(S71="","",S71*Punktwert*Kontrakte-Kommission*Kontrakte)</f>
        <v/>
      </c>
      <c r="V71" s="15" t="str">
        <f aca="false">IF(U71="","",SUM($U$5:U71))</f>
        <v/>
      </c>
      <c r="W71" s="15" t="str">
        <f aca="false">IF(V71="","",MAX(0,MAX($V$5:V71)))</f>
        <v/>
      </c>
      <c r="X71" s="15" t="str">
        <f aca="false">IF(V71="","",V71-W71)</f>
        <v/>
      </c>
      <c r="Y71" s="12" t="str">
        <f aca="false">IF(N71&lt;&gt;"Trade","",IF(P71=0,"Stop = Einstieg?",IF(I71="","Ergebnis eintragen",IF(AND(I71="Zeit",J71=""),"Kurs 11:30 fehlt",IF(OR(AND(M71="Short",H71&gt;F71),AND(M71="Long",H71&lt;G71)),"Einstieg prüfen","ok")))))</f>
        <v/>
      </c>
      <c r="Z71" s="16" t="str">
        <f aca="false">IF(A71="","",WEEKDAY(A71,2))</f>
        <v/>
      </c>
    </row>
    <row r="72" customFormat="false" ht="15" hidden="false" customHeight="false" outlineLevel="0" collapsed="false">
      <c r="A72" s="8"/>
      <c r="B72" s="9"/>
      <c r="C72" s="9"/>
      <c r="D72" s="9"/>
      <c r="E72" s="9"/>
      <c r="F72" s="9"/>
      <c r="G72" s="9"/>
      <c r="H72" s="9"/>
      <c r="I72" s="10"/>
      <c r="J72" s="9"/>
      <c r="K72" s="10"/>
      <c r="L72" s="11" t="str">
        <f aca="false">IF(OR(B72="",C72=""),"",(C72-B72)/B72)</f>
        <v/>
      </c>
      <c r="M72" s="12" t="str">
        <f aca="false">IF(L72="","",IF(ABS(L72)&lt;MinDrive,"kein Trade",IF(L72&gt;0,"Short","Long")))</f>
        <v/>
      </c>
      <c r="N72" s="12" t="str">
        <f aca="false">IF(OR(M72="",M72="kein Trade"),"",IF(H72="","kein Signal","Trade"))</f>
        <v/>
      </c>
      <c r="O72" s="13" t="str">
        <f aca="false">IF(N72&lt;&gt;"Trade","",IF(M72="Short",D72,E72))</f>
        <v/>
      </c>
      <c r="P72" s="13" t="str">
        <f aca="false">IF(N72&lt;&gt;"Trade","",ABS(H72-O72))</f>
        <v/>
      </c>
      <c r="Q72" s="13" t="str">
        <f aca="false">IF(N72&lt;&gt;"Trade","",H72+IF(M72="Long",1,-1)*ZielR*P72)</f>
        <v/>
      </c>
      <c r="R72" s="13" t="str">
        <f aca="false">IF(OR(N72&lt;&gt;"Trade",I72=""),"",IF(I72="Ziel",Q72,IF(I72="Stop",O72,IF(J72="","",J72))))</f>
        <v/>
      </c>
      <c r="S72" s="13" t="str">
        <f aca="false">IF(R72="","",(R72-H72)*IF(M72="Long",1,-1)-2*Slippage)</f>
        <v/>
      </c>
      <c r="T72" s="14" t="str">
        <f aca="false">IF(OR(S72="",P72=0),"",S72/P72)</f>
        <v/>
      </c>
      <c r="U72" s="15" t="str">
        <f aca="false">IF(S72="","",S72*Punktwert*Kontrakte-Kommission*Kontrakte)</f>
        <v/>
      </c>
      <c r="V72" s="15" t="str">
        <f aca="false">IF(U72="","",SUM($U$5:U72))</f>
        <v/>
      </c>
      <c r="W72" s="15" t="str">
        <f aca="false">IF(V72="","",MAX(0,MAX($V$5:V72)))</f>
        <v/>
      </c>
      <c r="X72" s="15" t="str">
        <f aca="false">IF(V72="","",V72-W72)</f>
        <v/>
      </c>
      <c r="Y72" s="12" t="str">
        <f aca="false">IF(N72&lt;&gt;"Trade","",IF(P72=0,"Stop = Einstieg?",IF(I72="","Ergebnis eintragen",IF(AND(I72="Zeit",J72=""),"Kurs 11:30 fehlt",IF(OR(AND(M72="Short",H72&gt;F72),AND(M72="Long",H72&lt;G72)),"Einstieg prüfen","ok")))))</f>
        <v/>
      </c>
      <c r="Z72" s="16" t="str">
        <f aca="false">IF(A72="","",WEEKDAY(A72,2))</f>
        <v/>
      </c>
    </row>
    <row r="73" customFormat="false" ht="15" hidden="false" customHeight="false" outlineLevel="0" collapsed="false">
      <c r="A73" s="8"/>
      <c r="B73" s="9"/>
      <c r="C73" s="9"/>
      <c r="D73" s="9"/>
      <c r="E73" s="9"/>
      <c r="F73" s="9"/>
      <c r="G73" s="9"/>
      <c r="H73" s="9"/>
      <c r="I73" s="10"/>
      <c r="J73" s="9"/>
      <c r="K73" s="10"/>
      <c r="L73" s="11" t="str">
        <f aca="false">IF(OR(B73="",C73=""),"",(C73-B73)/B73)</f>
        <v/>
      </c>
      <c r="M73" s="12" t="str">
        <f aca="false">IF(L73="","",IF(ABS(L73)&lt;MinDrive,"kein Trade",IF(L73&gt;0,"Short","Long")))</f>
        <v/>
      </c>
      <c r="N73" s="12" t="str">
        <f aca="false">IF(OR(M73="",M73="kein Trade"),"",IF(H73="","kein Signal","Trade"))</f>
        <v/>
      </c>
      <c r="O73" s="13" t="str">
        <f aca="false">IF(N73&lt;&gt;"Trade","",IF(M73="Short",D73,E73))</f>
        <v/>
      </c>
      <c r="P73" s="13" t="str">
        <f aca="false">IF(N73&lt;&gt;"Trade","",ABS(H73-O73))</f>
        <v/>
      </c>
      <c r="Q73" s="13" t="str">
        <f aca="false">IF(N73&lt;&gt;"Trade","",H73+IF(M73="Long",1,-1)*ZielR*P73)</f>
        <v/>
      </c>
      <c r="R73" s="13" t="str">
        <f aca="false">IF(OR(N73&lt;&gt;"Trade",I73=""),"",IF(I73="Ziel",Q73,IF(I73="Stop",O73,IF(J73="","",J73))))</f>
        <v/>
      </c>
      <c r="S73" s="13" t="str">
        <f aca="false">IF(R73="","",(R73-H73)*IF(M73="Long",1,-1)-2*Slippage)</f>
        <v/>
      </c>
      <c r="T73" s="14" t="str">
        <f aca="false">IF(OR(S73="",P73=0),"",S73/P73)</f>
        <v/>
      </c>
      <c r="U73" s="15" t="str">
        <f aca="false">IF(S73="","",S73*Punktwert*Kontrakte-Kommission*Kontrakte)</f>
        <v/>
      </c>
      <c r="V73" s="15" t="str">
        <f aca="false">IF(U73="","",SUM($U$5:U73))</f>
        <v/>
      </c>
      <c r="W73" s="15" t="str">
        <f aca="false">IF(V73="","",MAX(0,MAX($V$5:V73)))</f>
        <v/>
      </c>
      <c r="X73" s="15" t="str">
        <f aca="false">IF(V73="","",V73-W73)</f>
        <v/>
      </c>
      <c r="Y73" s="12" t="str">
        <f aca="false">IF(N73&lt;&gt;"Trade","",IF(P73=0,"Stop = Einstieg?",IF(I73="","Ergebnis eintragen",IF(AND(I73="Zeit",J73=""),"Kurs 11:30 fehlt",IF(OR(AND(M73="Short",H73&gt;F73),AND(M73="Long",H73&lt;G73)),"Einstieg prüfen","ok")))))</f>
        <v/>
      </c>
      <c r="Z73" s="16" t="str">
        <f aca="false">IF(A73="","",WEEKDAY(A73,2))</f>
        <v/>
      </c>
    </row>
    <row r="74" customFormat="false" ht="15" hidden="false" customHeight="false" outlineLevel="0" collapsed="false">
      <c r="A74" s="8"/>
      <c r="B74" s="9"/>
      <c r="C74" s="9"/>
      <c r="D74" s="9"/>
      <c r="E74" s="9"/>
      <c r="F74" s="9"/>
      <c r="G74" s="9"/>
      <c r="H74" s="9"/>
      <c r="I74" s="10"/>
      <c r="J74" s="9"/>
      <c r="K74" s="10"/>
      <c r="L74" s="11" t="str">
        <f aca="false">IF(OR(B74="",C74=""),"",(C74-B74)/B74)</f>
        <v/>
      </c>
      <c r="M74" s="12" t="str">
        <f aca="false">IF(L74="","",IF(ABS(L74)&lt;MinDrive,"kein Trade",IF(L74&gt;0,"Short","Long")))</f>
        <v/>
      </c>
      <c r="N74" s="12" t="str">
        <f aca="false">IF(OR(M74="",M74="kein Trade"),"",IF(H74="","kein Signal","Trade"))</f>
        <v/>
      </c>
      <c r="O74" s="13" t="str">
        <f aca="false">IF(N74&lt;&gt;"Trade","",IF(M74="Short",D74,E74))</f>
        <v/>
      </c>
      <c r="P74" s="13" t="str">
        <f aca="false">IF(N74&lt;&gt;"Trade","",ABS(H74-O74))</f>
        <v/>
      </c>
      <c r="Q74" s="13" t="str">
        <f aca="false">IF(N74&lt;&gt;"Trade","",H74+IF(M74="Long",1,-1)*ZielR*P74)</f>
        <v/>
      </c>
      <c r="R74" s="13" t="str">
        <f aca="false">IF(OR(N74&lt;&gt;"Trade",I74=""),"",IF(I74="Ziel",Q74,IF(I74="Stop",O74,IF(J74="","",J74))))</f>
        <v/>
      </c>
      <c r="S74" s="13" t="str">
        <f aca="false">IF(R74="","",(R74-H74)*IF(M74="Long",1,-1)-2*Slippage)</f>
        <v/>
      </c>
      <c r="T74" s="14" t="str">
        <f aca="false">IF(OR(S74="",P74=0),"",S74/P74)</f>
        <v/>
      </c>
      <c r="U74" s="15" t="str">
        <f aca="false">IF(S74="","",S74*Punktwert*Kontrakte-Kommission*Kontrakte)</f>
        <v/>
      </c>
      <c r="V74" s="15" t="str">
        <f aca="false">IF(U74="","",SUM($U$5:U74))</f>
        <v/>
      </c>
      <c r="W74" s="15" t="str">
        <f aca="false">IF(V74="","",MAX(0,MAX($V$5:V74)))</f>
        <v/>
      </c>
      <c r="X74" s="15" t="str">
        <f aca="false">IF(V74="","",V74-W74)</f>
        <v/>
      </c>
      <c r="Y74" s="12" t="str">
        <f aca="false">IF(N74&lt;&gt;"Trade","",IF(P74=0,"Stop = Einstieg?",IF(I74="","Ergebnis eintragen",IF(AND(I74="Zeit",J74=""),"Kurs 11:30 fehlt",IF(OR(AND(M74="Short",H74&gt;F74),AND(M74="Long",H74&lt;G74)),"Einstieg prüfen","ok")))))</f>
        <v/>
      </c>
      <c r="Z74" s="16" t="str">
        <f aca="false">IF(A74="","",WEEKDAY(A74,2))</f>
        <v/>
      </c>
    </row>
    <row r="75" customFormat="false" ht="15" hidden="false" customHeight="false" outlineLevel="0" collapsed="false">
      <c r="A75" s="8"/>
      <c r="B75" s="9"/>
      <c r="C75" s="9"/>
      <c r="D75" s="9"/>
      <c r="E75" s="9"/>
      <c r="F75" s="9"/>
      <c r="G75" s="9"/>
      <c r="H75" s="9"/>
      <c r="I75" s="10"/>
      <c r="J75" s="9"/>
      <c r="K75" s="10"/>
      <c r="L75" s="11" t="str">
        <f aca="false">IF(OR(B75="",C75=""),"",(C75-B75)/B75)</f>
        <v/>
      </c>
      <c r="M75" s="12" t="str">
        <f aca="false">IF(L75="","",IF(ABS(L75)&lt;MinDrive,"kein Trade",IF(L75&gt;0,"Short","Long")))</f>
        <v/>
      </c>
      <c r="N75" s="12" t="str">
        <f aca="false">IF(OR(M75="",M75="kein Trade"),"",IF(H75="","kein Signal","Trade"))</f>
        <v/>
      </c>
      <c r="O75" s="13" t="str">
        <f aca="false">IF(N75&lt;&gt;"Trade","",IF(M75="Short",D75,E75))</f>
        <v/>
      </c>
      <c r="P75" s="13" t="str">
        <f aca="false">IF(N75&lt;&gt;"Trade","",ABS(H75-O75))</f>
        <v/>
      </c>
      <c r="Q75" s="13" t="str">
        <f aca="false">IF(N75&lt;&gt;"Trade","",H75+IF(M75="Long",1,-1)*ZielR*P75)</f>
        <v/>
      </c>
      <c r="R75" s="13" t="str">
        <f aca="false">IF(OR(N75&lt;&gt;"Trade",I75=""),"",IF(I75="Ziel",Q75,IF(I75="Stop",O75,IF(J75="","",J75))))</f>
        <v/>
      </c>
      <c r="S75" s="13" t="str">
        <f aca="false">IF(R75="","",(R75-H75)*IF(M75="Long",1,-1)-2*Slippage)</f>
        <v/>
      </c>
      <c r="T75" s="14" t="str">
        <f aca="false">IF(OR(S75="",P75=0),"",S75/P75)</f>
        <v/>
      </c>
      <c r="U75" s="15" t="str">
        <f aca="false">IF(S75="","",S75*Punktwert*Kontrakte-Kommission*Kontrakte)</f>
        <v/>
      </c>
      <c r="V75" s="15" t="str">
        <f aca="false">IF(U75="","",SUM($U$5:U75))</f>
        <v/>
      </c>
      <c r="W75" s="15" t="str">
        <f aca="false">IF(V75="","",MAX(0,MAX($V$5:V75)))</f>
        <v/>
      </c>
      <c r="X75" s="15" t="str">
        <f aca="false">IF(V75="","",V75-W75)</f>
        <v/>
      </c>
      <c r="Y75" s="12" t="str">
        <f aca="false">IF(N75&lt;&gt;"Trade","",IF(P75=0,"Stop = Einstieg?",IF(I75="","Ergebnis eintragen",IF(AND(I75="Zeit",J75=""),"Kurs 11:30 fehlt",IF(OR(AND(M75="Short",H75&gt;F75),AND(M75="Long",H75&lt;G75)),"Einstieg prüfen","ok")))))</f>
        <v/>
      </c>
      <c r="Z75" s="16" t="str">
        <f aca="false">IF(A75="","",WEEKDAY(A75,2))</f>
        <v/>
      </c>
    </row>
    <row r="76" customFormat="false" ht="15" hidden="false" customHeight="false" outlineLevel="0" collapsed="false">
      <c r="A76" s="8"/>
      <c r="B76" s="9"/>
      <c r="C76" s="9"/>
      <c r="D76" s="9"/>
      <c r="E76" s="9"/>
      <c r="F76" s="9"/>
      <c r="G76" s="9"/>
      <c r="H76" s="9"/>
      <c r="I76" s="10"/>
      <c r="J76" s="9"/>
      <c r="K76" s="10"/>
      <c r="L76" s="11" t="str">
        <f aca="false">IF(OR(B76="",C76=""),"",(C76-B76)/B76)</f>
        <v/>
      </c>
      <c r="M76" s="12" t="str">
        <f aca="false">IF(L76="","",IF(ABS(L76)&lt;MinDrive,"kein Trade",IF(L76&gt;0,"Short","Long")))</f>
        <v/>
      </c>
      <c r="N76" s="12" t="str">
        <f aca="false">IF(OR(M76="",M76="kein Trade"),"",IF(H76="","kein Signal","Trade"))</f>
        <v/>
      </c>
      <c r="O76" s="13" t="str">
        <f aca="false">IF(N76&lt;&gt;"Trade","",IF(M76="Short",D76,E76))</f>
        <v/>
      </c>
      <c r="P76" s="13" t="str">
        <f aca="false">IF(N76&lt;&gt;"Trade","",ABS(H76-O76))</f>
        <v/>
      </c>
      <c r="Q76" s="13" t="str">
        <f aca="false">IF(N76&lt;&gt;"Trade","",H76+IF(M76="Long",1,-1)*ZielR*P76)</f>
        <v/>
      </c>
      <c r="R76" s="13" t="str">
        <f aca="false">IF(OR(N76&lt;&gt;"Trade",I76=""),"",IF(I76="Ziel",Q76,IF(I76="Stop",O76,IF(J76="","",J76))))</f>
        <v/>
      </c>
      <c r="S76" s="13" t="str">
        <f aca="false">IF(R76="","",(R76-H76)*IF(M76="Long",1,-1)-2*Slippage)</f>
        <v/>
      </c>
      <c r="T76" s="14" t="str">
        <f aca="false">IF(OR(S76="",P76=0),"",S76/P76)</f>
        <v/>
      </c>
      <c r="U76" s="15" t="str">
        <f aca="false">IF(S76="","",S76*Punktwert*Kontrakte-Kommission*Kontrakte)</f>
        <v/>
      </c>
      <c r="V76" s="15" t="str">
        <f aca="false">IF(U76="","",SUM($U$5:U76))</f>
        <v/>
      </c>
      <c r="W76" s="15" t="str">
        <f aca="false">IF(V76="","",MAX(0,MAX($V$5:V76)))</f>
        <v/>
      </c>
      <c r="X76" s="15" t="str">
        <f aca="false">IF(V76="","",V76-W76)</f>
        <v/>
      </c>
      <c r="Y76" s="12" t="str">
        <f aca="false">IF(N76&lt;&gt;"Trade","",IF(P76=0,"Stop = Einstieg?",IF(I76="","Ergebnis eintragen",IF(AND(I76="Zeit",J76=""),"Kurs 11:30 fehlt",IF(OR(AND(M76="Short",H76&gt;F76),AND(M76="Long",H76&lt;G76)),"Einstieg prüfen","ok")))))</f>
        <v/>
      </c>
      <c r="Z76" s="16" t="str">
        <f aca="false">IF(A76="","",WEEKDAY(A76,2))</f>
        <v/>
      </c>
    </row>
    <row r="77" customFormat="false" ht="15" hidden="false" customHeight="false" outlineLevel="0" collapsed="false">
      <c r="A77" s="8"/>
      <c r="B77" s="9"/>
      <c r="C77" s="9"/>
      <c r="D77" s="9"/>
      <c r="E77" s="9"/>
      <c r="F77" s="9"/>
      <c r="G77" s="9"/>
      <c r="H77" s="9"/>
      <c r="I77" s="10"/>
      <c r="J77" s="9"/>
      <c r="K77" s="10"/>
      <c r="L77" s="11" t="str">
        <f aca="false">IF(OR(B77="",C77=""),"",(C77-B77)/B77)</f>
        <v/>
      </c>
      <c r="M77" s="12" t="str">
        <f aca="false">IF(L77="","",IF(ABS(L77)&lt;MinDrive,"kein Trade",IF(L77&gt;0,"Short","Long")))</f>
        <v/>
      </c>
      <c r="N77" s="12" t="str">
        <f aca="false">IF(OR(M77="",M77="kein Trade"),"",IF(H77="","kein Signal","Trade"))</f>
        <v/>
      </c>
      <c r="O77" s="13" t="str">
        <f aca="false">IF(N77&lt;&gt;"Trade","",IF(M77="Short",D77,E77))</f>
        <v/>
      </c>
      <c r="P77" s="13" t="str">
        <f aca="false">IF(N77&lt;&gt;"Trade","",ABS(H77-O77))</f>
        <v/>
      </c>
      <c r="Q77" s="13" t="str">
        <f aca="false">IF(N77&lt;&gt;"Trade","",H77+IF(M77="Long",1,-1)*ZielR*P77)</f>
        <v/>
      </c>
      <c r="R77" s="13" t="str">
        <f aca="false">IF(OR(N77&lt;&gt;"Trade",I77=""),"",IF(I77="Ziel",Q77,IF(I77="Stop",O77,IF(J77="","",J77))))</f>
        <v/>
      </c>
      <c r="S77" s="13" t="str">
        <f aca="false">IF(R77="","",(R77-H77)*IF(M77="Long",1,-1)-2*Slippage)</f>
        <v/>
      </c>
      <c r="T77" s="14" t="str">
        <f aca="false">IF(OR(S77="",P77=0),"",S77/P77)</f>
        <v/>
      </c>
      <c r="U77" s="15" t="str">
        <f aca="false">IF(S77="","",S77*Punktwert*Kontrakte-Kommission*Kontrakte)</f>
        <v/>
      </c>
      <c r="V77" s="15" t="str">
        <f aca="false">IF(U77="","",SUM($U$5:U77))</f>
        <v/>
      </c>
      <c r="W77" s="15" t="str">
        <f aca="false">IF(V77="","",MAX(0,MAX($V$5:V77)))</f>
        <v/>
      </c>
      <c r="X77" s="15" t="str">
        <f aca="false">IF(V77="","",V77-W77)</f>
        <v/>
      </c>
      <c r="Y77" s="12" t="str">
        <f aca="false">IF(N77&lt;&gt;"Trade","",IF(P77=0,"Stop = Einstieg?",IF(I77="","Ergebnis eintragen",IF(AND(I77="Zeit",J77=""),"Kurs 11:30 fehlt",IF(OR(AND(M77="Short",H77&gt;F77),AND(M77="Long",H77&lt;G77)),"Einstieg prüfen","ok")))))</f>
        <v/>
      </c>
      <c r="Z77" s="16" t="str">
        <f aca="false">IF(A77="","",WEEKDAY(A77,2))</f>
        <v/>
      </c>
    </row>
    <row r="78" customFormat="false" ht="15" hidden="false" customHeight="false" outlineLevel="0" collapsed="false">
      <c r="A78" s="8"/>
      <c r="B78" s="9"/>
      <c r="C78" s="9"/>
      <c r="D78" s="9"/>
      <c r="E78" s="9"/>
      <c r="F78" s="9"/>
      <c r="G78" s="9"/>
      <c r="H78" s="9"/>
      <c r="I78" s="10"/>
      <c r="J78" s="9"/>
      <c r="K78" s="10"/>
      <c r="L78" s="11" t="str">
        <f aca="false">IF(OR(B78="",C78=""),"",(C78-B78)/B78)</f>
        <v/>
      </c>
      <c r="M78" s="12" t="str">
        <f aca="false">IF(L78="","",IF(ABS(L78)&lt;MinDrive,"kein Trade",IF(L78&gt;0,"Short","Long")))</f>
        <v/>
      </c>
      <c r="N78" s="12" t="str">
        <f aca="false">IF(OR(M78="",M78="kein Trade"),"",IF(H78="","kein Signal","Trade"))</f>
        <v/>
      </c>
      <c r="O78" s="13" t="str">
        <f aca="false">IF(N78&lt;&gt;"Trade","",IF(M78="Short",D78,E78))</f>
        <v/>
      </c>
      <c r="P78" s="13" t="str">
        <f aca="false">IF(N78&lt;&gt;"Trade","",ABS(H78-O78))</f>
        <v/>
      </c>
      <c r="Q78" s="13" t="str">
        <f aca="false">IF(N78&lt;&gt;"Trade","",H78+IF(M78="Long",1,-1)*ZielR*P78)</f>
        <v/>
      </c>
      <c r="R78" s="13" t="str">
        <f aca="false">IF(OR(N78&lt;&gt;"Trade",I78=""),"",IF(I78="Ziel",Q78,IF(I78="Stop",O78,IF(J78="","",J78))))</f>
        <v/>
      </c>
      <c r="S78" s="13" t="str">
        <f aca="false">IF(R78="","",(R78-H78)*IF(M78="Long",1,-1)-2*Slippage)</f>
        <v/>
      </c>
      <c r="T78" s="14" t="str">
        <f aca="false">IF(OR(S78="",P78=0),"",S78/P78)</f>
        <v/>
      </c>
      <c r="U78" s="15" t="str">
        <f aca="false">IF(S78="","",S78*Punktwert*Kontrakte-Kommission*Kontrakte)</f>
        <v/>
      </c>
      <c r="V78" s="15" t="str">
        <f aca="false">IF(U78="","",SUM($U$5:U78))</f>
        <v/>
      </c>
      <c r="W78" s="15" t="str">
        <f aca="false">IF(V78="","",MAX(0,MAX($V$5:V78)))</f>
        <v/>
      </c>
      <c r="X78" s="15" t="str">
        <f aca="false">IF(V78="","",V78-W78)</f>
        <v/>
      </c>
      <c r="Y78" s="12" t="str">
        <f aca="false">IF(N78&lt;&gt;"Trade","",IF(P78=0,"Stop = Einstieg?",IF(I78="","Ergebnis eintragen",IF(AND(I78="Zeit",J78=""),"Kurs 11:30 fehlt",IF(OR(AND(M78="Short",H78&gt;F78),AND(M78="Long",H78&lt;G78)),"Einstieg prüfen","ok")))))</f>
        <v/>
      </c>
      <c r="Z78" s="16" t="str">
        <f aca="false">IF(A78="","",WEEKDAY(A78,2))</f>
        <v/>
      </c>
    </row>
    <row r="79" customFormat="false" ht="15" hidden="false" customHeight="false" outlineLevel="0" collapsed="false">
      <c r="A79" s="8"/>
      <c r="B79" s="9"/>
      <c r="C79" s="9"/>
      <c r="D79" s="9"/>
      <c r="E79" s="9"/>
      <c r="F79" s="9"/>
      <c r="G79" s="9"/>
      <c r="H79" s="9"/>
      <c r="I79" s="10"/>
      <c r="J79" s="9"/>
      <c r="K79" s="10"/>
      <c r="L79" s="11" t="str">
        <f aca="false">IF(OR(B79="",C79=""),"",(C79-B79)/B79)</f>
        <v/>
      </c>
      <c r="M79" s="12" t="str">
        <f aca="false">IF(L79="","",IF(ABS(L79)&lt;MinDrive,"kein Trade",IF(L79&gt;0,"Short","Long")))</f>
        <v/>
      </c>
      <c r="N79" s="12" t="str">
        <f aca="false">IF(OR(M79="",M79="kein Trade"),"",IF(H79="","kein Signal","Trade"))</f>
        <v/>
      </c>
      <c r="O79" s="13" t="str">
        <f aca="false">IF(N79&lt;&gt;"Trade","",IF(M79="Short",D79,E79))</f>
        <v/>
      </c>
      <c r="P79" s="13" t="str">
        <f aca="false">IF(N79&lt;&gt;"Trade","",ABS(H79-O79))</f>
        <v/>
      </c>
      <c r="Q79" s="13" t="str">
        <f aca="false">IF(N79&lt;&gt;"Trade","",H79+IF(M79="Long",1,-1)*ZielR*P79)</f>
        <v/>
      </c>
      <c r="R79" s="13" t="str">
        <f aca="false">IF(OR(N79&lt;&gt;"Trade",I79=""),"",IF(I79="Ziel",Q79,IF(I79="Stop",O79,IF(J79="","",J79))))</f>
        <v/>
      </c>
      <c r="S79" s="13" t="str">
        <f aca="false">IF(R79="","",(R79-H79)*IF(M79="Long",1,-1)-2*Slippage)</f>
        <v/>
      </c>
      <c r="T79" s="14" t="str">
        <f aca="false">IF(OR(S79="",P79=0),"",S79/P79)</f>
        <v/>
      </c>
      <c r="U79" s="15" t="str">
        <f aca="false">IF(S79="","",S79*Punktwert*Kontrakte-Kommission*Kontrakte)</f>
        <v/>
      </c>
      <c r="V79" s="15" t="str">
        <f aca="false">IF(U79="","",SUM($U$5:U79))</f>
        <v/>
      </c>
      <c r="W79" s="15" t="str">
        <f aca="false">IF(V79="","",MAX(0,MAX($V$5:V79)))</f>
        <v/>
      </c>
      <c r="X79" s="15" t="str">
        <f aca="false">IF(V79="","",V79-W79)</f>
        <v/>
      </c>
      <c r="Y79" s="12" t="str">
        <f aca="false">IF(N79&lt;&gt;"Trade","",IF(P79=0,"Stop = Einstieg?",IF(I79="","Ergebnis eintragen",IF(AND(I79="Zeit",J79=""),"Kurs 11:30 fehlt",IF(OR(AND(M79="Short",H79&gt;F79),AND(M79="Long",H79&lt;G79)),"Einstieg prüfen","ok")))))</f>
        <v/>
      </c>
      <c r="Z79" s="16" t="str">
        <f aca="false">IF(A79="","",WEEKDAY(A79,2))</f>
        <v/>
      </c>
    </row>
    <row r="80" customFormat="false" ht="15" hidden="false" customHeight="false" outlineLevel="0" collapsed="false">
      <c r="A80" s="8"/>
      <c r="B80" s="9"/>
      <c r="C80" s="9"/>
      <c r="D80" s="9"/>
      <c r="E80" s="9"/>
      <c r="F80" s="9"/>
      <c r="G80" s="9"/>
      <c r="H80" s="9"/>
      <c r="I80" s="10"/>
      <c r="J80" s="9"/>
      <c r="K80" s="10"/>
      <c r="L80" s="11" t="str">
        <f aca="false">IF(OR(B80="",C80=""),"",(C80-B80)/B80)</f>
        <v/>
      </c>
      <c r="M80" s="12" t="str">
        <f aca="false">IF(L80="","",IF(ABS(L80)&lt;MinDrive,"kein Trade",IF(L80&gt;0,"Short","Long")))</f>
        <v/>
      </c>
      <c r="N80" s="12" t="str">
        <f aca="false">IF(OR(M80="",M80="kein Trade"),"",IF(H80="","kein Signal","Trade"))</f>
        <v/>
      </c>
      <c r="O80" s="13" t="str">
        <f aca="false">IF(N80&lt;&gt;"Trade","",IF(M80="Short",D80,E80))</f>
        <v/>
      </c>
      <c r="P80" s="13" t="str">
        <f aca="false">IF(N80&lt;&gt;"Trade","",ABS(H80-O80))</f>
        <v/>
      </c>
      <c r="Q80" s="13" t="str">
        <f aca="false">IF(N80&lt;&gt;"Trade","",H80+IF(M80="Long",1,-1)*ZielR*P80)</f>
        <v/>
      </c>
      <c r="R80" s="13" t="str">
        <f aca="false">IF(OR(N80&lt;&gt;"Trade",I80=""),"",IF(I80="Ziel",Q80,IF(I80="Stop",O80,IF(J80="","",J80))))</f>
        <v/>
      </c>
      <c r="S80" s="13" t="str">
        <f aca="false">IF(R80="","",(R80-H80)*IF(M80="Long",1,-1)-2*Slippage)</f>
        <v/>
      </c>
      <c r="T80" s="14" t="str">
        <f aca="false">IF(OR(S80="",P80=0),"",S80/P80)</f>
        <v/>
      </c>
      <c r="U80" s="15" t="str">
        <f aca="false">IF(S80="","",S80*Punktwert*Kontrakte-Kommission*Kontrakte)</f>
        <v/>
      </c>
      <c r="V80" s="15" t="str">
        <f aca="false">IF(U80="","",SUM($U$5:U80))</f>
        <v/>
      </c>
      <c r="W80" s="15" t="str">
        <f aca="false">IF(V80="","",MAX(0,MAX($V$5:V80)))</f>
        <v/>
      </c>
      <c r="X80" s="15" t="str">
        <f aca="false">IF(V80="","",V80-W80)</f>
        <v/>
      </c>
      <c r="Y80" s="12" t="str">
        <f aca="false">IF(N80&lt;&gt;"Trade","",IF(P80=0,"Stop = Einstieg?",IF(I80="","Ergebnis eintragen",IF(AND(I80="Zeit",J80=""),"Kurs 11:30 fehlt",IF(OR(AND(M80="Short",H80&gt;F80),AND(M80="Long",H80&lt;G80)),"Einstieg prüfen","ok")))))</f>
        <v/>
      </c>
      <c r="Z80" s="16" t="str">
        <f aca="false">IF(A80="","",WEEKDAY(A80,2))</f>
        <v/>
      </c>
    </row>
    <row r="81" customFormat="false" ht="15" hidden="false" customHeight="false" outlineLevel="0" collapsed="false">
      <c r="A81" s="8"/>
      <c r="B81" s="9"/>
      <c r="C81" s="9"/>
      <c r="D81" s="9"/>
      <c r="E81" s="9"/>
      <c r="F81" s="9"/>
      <c r="G81" s="9"/>
      <c r="H81" s="9"/>
      <c r="I81" s="10"/>
      <c r="J81" s="9"/>
      <c r="K81" s="10"/>
      <c r="L81" s="11" t="str">
        <f aca="false">IF(OR(B81="",C81=""),"",(C81-B81)/B81)</f>
        <v/>
      </c>
      <c r="M81" s="12" t="str">
        <f aca="false">IF(L81="","",IF(ABS(L81)&lt;MinDrive,"kein Trade",IF(L81&gt;0,"Short","Long")))</f>
        <v/>
      </c>
      <c r="N81" s="12" t="str">
        <f aca="false">IF(OR(M81="",M81="kein Trade"),"",IF(H81="","kein Signal","Trade"))</f>
        <v/>
      </c>
      <c r="O81" s="13" t="str">
        <f aca="false">IF(N81&lt;&gt;"Trade","",IF(M81="Short",D81,E81))</f>
        <v/>
      </c>
      <c r="P81" s="13" t="str">
        <f aca="false">IF(N81&lt;&gt;"Trade","",ABS(H81-O81))</f>
        <v/>
      </c>
      <c r="Q81" s="13" t="str">
        <f aca="false">IF(N81&lt;&gt;"Trade","",H81+IF(M81="Long",1,-1)*ZielR*P81)</f>
        <v/>
      </c>
      <c r="R81" s="13" t="str">
        <f aca="false">IF(OR(N81&lt;&gt;"Trade",I81=""),"",IF(I81="Ziel",Q81,IF(I81="Stop",O81,IF(J81="","",J81))))</f>
        <v/>
      </c>
      <c r="S81" s="13" t="str">
        <f aca="false">IF(R81="","",(R81-H81)*IF(M81="Long",1,-1)-2*Slippage)</f>
        <v/>
      </c>
      <c r="T81" s="14" t="str">
        <f aca="false">IF(OR(S81="",P81=0),"",S81/P81)</f>
        <v/>
      </c>
      <c r="U81" s="15" t="str">
        <f aca="false">IF(S81="","",S81*Punktwert*Kontrakte-Kommission*Kontrakte)</f>
        <v/>
      </c>
      <c r="V81" s="15" t="str">
        <f aca="false">IF(U81="","",SUM($U$5:U81))</f>
        <v/>
      </c>
      <c r="W81" s="15" t="str">
        <f aca="false">IF(V81="","",MAX(0,MAX($V$5:V81)))</f>
        <v/>
      </c>
      <c r="X81" s="15" t="str">
        <f aca="false">IF(V81="","",V81-W81)</f>
        <v/>
      </c>
      <c r="Y81" s="12" t="str">
        <f aca="false">IF(N81&lt;&gt;"Trade","",IF(P81=0,"Stop = Einstieg?",IF(I81="","Ergebnis eintragen",IF(AND(I81="Zeit",J81=""),"Kurs 11:30 fehlt",IF(OR(AND(M81="Short",H81&gt;F81),AND(M81="Long",H81&lt;G81)),"Einstieg prüfen","ok")))))</f>
        <v/>
      </c>
      <c r="Z81" s="16" t="str">
        <f aca="false">IF(A81="","",WEEKDAY(A81,2))</f>
        <v/>
      </c>
    </row>
    <row r="82" customFormat="false" ht="15" hidden="false" customHeight="false" outlineLevel="0" collapsed="false">
      <c r="A82" s="8"/>
      <c r="B82" s="9"/>
      <c r="C82" s="9"/>
      <c r="D82" s="9"/>
      <c r="E82" s="9"/>
      <c r="F82" s="9"/>
      <c r="G82" s="9"/>
      <c r="H82" s="9"/>
      <c r="I82" s="10"/>
      <c r="J82" s="9"/>
      <c r="K82" s="10"/>
      <c r="L82" s="11" t="str">
        <f aca="false">IF(OR(B82="",C82=""),"",(C82-B82)/B82)</f>
        <v/>
      </c>
      <c r="M82" s="12" t="str">
        <f aca="false">IF(L82="","",IF(ABS(L82)&lt;MinDrive,"kein Trade",IF(L82&gt;0,"Short","Long")))</f>
        <v/>
      </c>
      <c r="N82" s="12" t="str">
        <f aca="false">IF(OR(M82="",M82="kein Trade"),"",IF(H82="","kein Signal","Trade"))</f>
        <v/>
      </c>
      <c r="O82" s="13" t="str">
        <f aca="false">IF(N82&lt;&gt;"Trade","",IF(M82="Short",D82,E82))</f>
        <v/>
      </c>
      <c r="P82" s="13" t="str">
        <f aca="false">IF(N82&lt;&gt;"Trade","",ABS(H82-O82))</f>
        <v/>
      </c>
      <c r="Q82" s="13" t="str">
        <f aca="false">IF(N82&lt;&gt;"Trade","",H82+IF(M82="Long",1,-1)*ZielR*P82)</f>
        <v/>
      </c>
      <c r="R82" s="13" t="str">
        <f aca="false">IF(OR(N82&lt;&gt;"Trade",I82=""),"",IF(I82="Ziel",Q82,IF(I82="Stop",O82,IF(J82="","",J82))))</f>
        <v/>
      </c>
      <c r="S82" s="13" t="str">
        <f aca="false">IF(R82="","",(R82-H82)*IF(M82="Long",1,-1)-2*Slippage)</f>
        <v/>
      </c>
      <c r="T82" s="14" t="str">
        <f aca="false">IF(OR(S82="",P82=0),"",S82/P82)</f>
        <v/>
      </c>
      <c r="U82" s="15" t="str">
        <f aca="false">IF(S82="","",S82*Punktwert*Kontrakte-Kommission*Kontrakte)</f>
        <v/>
      </c>
      <c r="V82" s="15" t="str">
        <f aca="false">IF(U82="","",SUM($U$5:U82))</f>
        <v/>
      </c>
      <c r="W82" s="15" t="str">
        <f aca="false">IF(V82="","",MAX(0,MAX($V$5:V82)))</f>
        <v/>
      </c>
      <c r="X82" s="15" t="str">
        <f aca="false">IF(V82="","",V82-W82)</f>
        <v/>
      </c>
      <c r="Y82" s="12" t="str">
        <f aca="false">IF(N82&lt;&gt;"Trade","",IF(P82=0,"Stop = Einstieg?",IF(I82="","Ergebnis eintragen",IF(AND(I82="Zeit",J82=""),"Kurs 11:30 fehlt",IF(OR(AND(M82="Short",H82&gt;F82),AND(M82="Long",H82&lt;G82)),"Einstieg prüfen","ok")))))</f>
        <v/>
      </c>
      <c r="Z82" s="16" t="str">
        <f aca="false">IF(A82="","",WEEKDAY(A82,2))</f>
        <v/>
      </c>
    </row>
    <row r="83" customFormat="false" ht="15" hidden="false" customHeight="false" outlineLevel="0" collapsed="false">
      <c r="A83" s="8"/>
      <c r="B83" s="9"/>
      <c r="C83" s="9"/>
      <c r="D83" s="9"/>
      <c r="E83" s="9"/>
      <c r="F83" s="9"/>
      <c r="G83" s="9"/>
      <c r="H83" s="9"/>
      <c r="I83" s="10"/>
      <c r="J83" s="9"/>
      <c r="K83" s="10"/>
      <c r="L83" s="11" t="str">
        <f aca="false">IF(OR(B83="",C83=""),"",(C83-B83)/B83)</f>
        <v/>
      </c>
      <c r="M83" s="12" t="str">
        <f aca="false">IF(L83="","",IF(ABS(L83)&lt;MinDrive,"kein Trade",IF(L83&gt;0,"Short","Long")))</f>
        <v/>
      </c>
      <c r="N83" s="12" t="str">
        <f aca="false">IF(OR(M83="",M83="kein Trade"),"",IF(H83="","kein Signal","Trade"))</f>
        <v/>
      </c>
      <c r="O83" s="13" t="str">
        <f aca="false">IF(N83&lt;&gt;"Trade","",IF(M83="Short",D83,E83))</f>
        <v/>
      </c>
      <c r="P83" s="13" t="str">
        <f aca="false">IF(N83&lt;&gt;"Trade","",ABS(H83-O83))</f>
        <v/>
      </c>
      <c r="Q83" s="13" t="str">
        <f aca="false">IF(N83&lt;&gt;"Trade","",H83+IF(M83="Long",1,-1)*ZielR*P83)</f>
        <v/>
      </c>
      <c r="R83" s="13" t="str">
        <f aca="false">IF(OR(N83&lt;&gt;"Trade",I83=""),"",IF(I83="Ziel",Q83,IF(I83="Stop",O83,IF(J83="","",J83))))</f>
        <v/>
      </c>
      <c r="S83" s="13" t="str">
        <f aca="false">IF(R83="","",(R83-H83)*IF(M83="Long",1,-1)-2*Slippage)</f>
        <v/>
      </c>
      <c r="T83" s="14" t="str">
        <f aca="false">IF(OR(S83="",P83=0),"",S83/P83)</f>
        <v/>
      </c>
      <c r="U83" s="15" t="str">
        <f aca="false">IF(S83="","",S83*Punktwert*Kontrakte-Kommission*Kontrakte)</f>
        <v/>
      </c>
      <c r="V83" s="15" t="str">
        <f aca="false">IF(U83="","",SUM($U$5:U83))</f>
        <v/>
      </c>
      <c r="W83" s="15" t="str">
        <f aca="false">IF(V83="","",MAX(0,MAX($V$5:V83)))</f>
        <v/>
      </c>
      <c r="X83" s="15" t="str">
        <f aca="false">IF(V83="","",V83-W83)</f>
        <v/>
      </c>
      <c r="Y83" s="12" t="str">
        <f aca="false">IF(N83&lt;&gt;"Trade","",IF(P83=0,"Stop = Einstieg?",IF(I83="","Ergebnis eintragen",IF(AND(I83="Zeit",J83=""),"Kurs 11:30 fehlt",IF(OR(AND(M83="Short",H83&gt;F83),AND(M83="Long",H83&lt;G83)),"Einstieg prüfen","ok")))))</f>
        <v/>
      </c>
      <c r="Z83" s="16" t="str">
        <f aca="false">IF(A83="","",WEEKDAY(A83,2))</f>
        <v/>
      </c>
    </row>
    <row r="84" customFormat="false" ht="15" hidden="false" customHeight="false" outlineLevel="0" collapsed="false">
      <c r="A84" s="8"/>
      <c r="B84" s="9"/>
      <c r="C84" s="9"/>
      <c r="D84" s="9"/>
      <c r="E84" s="9"/>
      <c r="F84" s="9"/>
      <c r="G84" s="9"/>
      <c r="H84" s="9"/>
      <c r="I84" s="10"/>
      <c r="J84" s="9"/>
      <c r="K84" s="10"/>
      <c r="L84" s="11" t="str">
        <f aca="false">IF(OR(B84="",C84=""),"",(C84-B84)/B84)</f>
        <v/>
      </c>
      <c r="M84" s="12" t="str">
        <f aca="false">IF(L84="","",IF(ABS(L84)&lt;MinDrive,"kein Trade",IF(L84&gt;0,"Short","Long")))</f>
        <v/>
      </c>
      <c r="N84" s="12" t="str">
        <f aca="false">IF(OR(M84="",M84="kein Trade"),"",IF(H84="","kein Signal","Trade"))</f>
        <v/>
      </c>
      <c r="O84" s="13" t="str">
        <f aca="false">IF(N84&lt;&gt;"Trade","",IF(M84="Short",D84,E84))</f>
        <v/>
      </c>
      <c r="P84" s="13" t="str">
        <f aca="false">IF(N84&lt;&gt;"Trade","",ABS(H84-O84))</f>
        <v/>
      </c>
      <c r="Q84" s="13" t="str">
        <f aca="false">IF(N84&lt;&gt;"Trade","",H84+IF(M84="Long",1,-1)*ZielR*P84)</f>
        <v/>
      </c>
      <c r="R84" s="13" t="str">
        <f aca="false">IF(OR(N84&lt;&gt;"Trade",I84=""),"",IF(I84="Ziel",Q84,IF(I84="Stop",O84,IF(J84="","",J84))))</f>
        <v/>
      </c>
      <c r="S84" s="13" t="str">
        <f aca="false">IF(R84="","",(R84-H84)*IF(M84="Long",1,-1)-2*Slippage)</f>
        <v/>
      </c>
      <c r="T84" s="14" t="str">
        <f aca="false">IF(OR(S84="",P84=0),"",S84/P84)</f>
        <v/>
      </c>
      <c r="U84" s="15" t="str">
        <f aca="false">IF(S84="","",S84*Punktwert*Kontrakte-Kommission*Kontrakte)</f>
        <v/>
      </c>
      <c r="V84" s="15" t="str">
        <f aca="false">IF(U84="","",SUM($U$5:U84))</f>
        <v/>
      </c>
      <c r="W84" s="15" t="str">
        <f aca="false">IF(V84="","",MAX(0,MAX($V$5:V84)))</f>
        <v/>
      </c>
      <c r="X84" s="15" t="str">
        <f aca="false">IF(V84="","",V84-W84)</f>
        <v/>
      </c>
      <c r="Y84" s="12" t="str">
        <f aca="false">IF(N84&lt;&gt;"Trade","",IF(P84=0,"Stop = Einstieg?",IF(I84="","Ergebnis eintragen",IF(AND(I84="Zeit",J84=""),"Kurs 11:30 fehlt",IF(OR(AND(M84="Short",H84&gt;F84),AND(M84="Long",H84&lt;G84)),"Einstieg prüfen","ok")))))</f>
        <v/>
      </c>
      <c r="Z84" s="16" t="str">
        <f aca="false">IF(A84="","",WEEKDAY(A84,2))</f>
        <v/>
      </c>
    </row>
    <row r="85" customFormat="false" ht="15" hidden="false" customHeight="false" outlineLevel="0" collapsed="false">
      <c r="A85" s="8"/>
      <c r="B85" s="9"/>
      <c r="C85" s="9"/>
      <c r="D85" s="9"/>
      <c r="E85" s="9"/>
      <c r="F85" s="9"/>
      <c r="G85" s="9"/>
      <c r="H85" s="9"/>
      <c r="I85" s="10"/>
      <c r="J85" s="9"/>
      <c r="K85" s="10"/>
      <c r="L85" s="11" t="str">
        <f aca="false">IF(OR(B85="",C85=""),"",(C85-B85)/B85)</f>
        <v/>
      </c>
      <c r="M85" s="12" t="str">
        <f aca="false">IF(L85="","",IF(ABS(L85)&lt;MinDrive,"kein Trade",IF(L85&gt;0,"Short","Long")))</f>
        <v/>
      </c>
      <c r="N85" s="12" t="str">
        <f aca="false">IF(OR(M85="",M85="kein Trade"),"",IF(H85="","kein Signal","Trade"))</f>
        <v/>
      </c>
      <c r="O85" s="13" t="str">
        <f aca="false">IF(N85&lt;&gt;"Trade","",IF(M85="Short",D85,E85))</f>
        <v/>
      </c>
      <c r="P85" s="13" t="str">
        <f aca="false">IF(N85&lt;&gt;"Trade","",ABS(H85-O85))</f>
        <v/>
      </c>
      <c r="Q85" s="13" t="str">
        <f aca="false">IF(N85&lt;&gt;"Trade","",H85+IF(M85="Long",1,-1)*ZielR*P85)</f>
        <v/>
      </c>
      <c r="R85" s="13" t="str">
        <f aca="false">IF(OR(N85&lt;&gt;"Trade",I85=""),"",IF(I85="Ziel",Q85,IF(I85="Stop",O85,IF(J85="","",J85))))</f>
        <v/>
      </c>
      <c r="S85" s="13" t="str">
        <f aca="false">IF(R85="","",(R85-H85)*IF(M85="Long",1,-1)-2*Slippage)</f>
        <v/>
      </c>
      <c r="T85" s="14" t="str">
        <f aca="false">IF(OR(S85="",P85=0),"",S85/P85)</f>
        <v/>
      </c>
      <c r="U85" s="15" t="str">
        <f aca="false">IF(S85="","",S85*Punktwert*Kontrakte-Kommission*Kontrakte)</f>
        <v/>
      </c>
      <c r="V85" s="15" t="str">
        <f aca="false">IF(U85="","",SUM($U$5:U85))</f>
        <v/>
      </c>
      <c r="W85" s="15" t="str">
        <f aca="false">IF(V85="","",MAX(0,MAX($V$5:V85)))</f>
        <v/>
      </c>
      <c r="X85" s="15" t="str">
        <f aca="false">IF(V85="","",V85-W85)</f>
        <v/>
      </c>
      <c r="Y85" s="12" t="str">
        <f aca="false">IF(N85&lt;&gt;"Trade","",IF(P85=0,"Stop = Einstieg?",IF(I85="","Ergebnis eintragen",IF(AND(I85="Zeit",J85=""),"Kurs 11:30 fehlt",IF(OR(AND(M85="Short",H85&gt;F85),AND(M85="Long",H85&lt;G85)),"Einstieg prüfen","ok")))))</f>
        <v/>
      </c>
      <c r="Z85" s="16" t="str">
        <f aca="false">IF(A85="","",WEEKDAY(A85,2))</f>
        <v/>
      </c>
    </row>
    <row r="86" customFormat="false" ht="15" hidden="false" customHeight="false" outlineLevel="0" collapsed="false">
      <c r="A86" s="8"/>
      <c r="B86" s="9"/>
      <c r="C86" s="9"/>
      <c r="D86" s="9"/>
      <c r="E86" s="9"/>
      <c r="F86" s="9"/>
      <c r="G86" s="9"/>
      <c r="H86" s="9"/>
      <c r="I86" s="10"/>
      <c r="J86" s="9"/>
      <c r="K86" s="10"/>
      <c r="L86" s="11" t="str">
        <f aca="false">IF(OR(B86="",C86=""),"",(C86-B86)/B86)</f>
        <v/>
      </c>
      <c r="M86" s="12" t="str">
        <f aca="false">IF(L86="","",IF(ABS(L86)&lt;MinDrive,"kein Trade",IF(L86&gt;0,"Short","Long")))</f>
        <v/>
      </c>
      <c r="N86" s="12" t="str">
        <f aca="false">IF(OR(M86="",M86="kein Trade"),"",IF(H86="","kein Signal","Trade"))</f>
        <v/>
      </c>
      <c r="O86" s="13" t="str">
        <f aca="false">IF(N86&lt;&gt;"Trade","",IF(M86="Short",D86,E86))</f>
        <v/>
      </c>
      <c r="P86" s="13" t="str">
        <f aca="false">IF(N86&lt;&gt;"Trade","",ABS(H86-O86))</f>
        <v/>
      </c>
      <c r="Q86" s="13" t="str">
        <f aca="false">IF(N86&lt;&gt;"Trade","",H86+IF(M86="Long",1,-1)*ZielR*P86)</f>
        <v/>
      </c>
      <c r="R86" s="13" t="str">
        <f aca="false">IF(OR(N86&lt;&gt;"Trade",I86=""),"",IF(I86="Ziel",Q86,IF(I86="Stop",O86,IF(J86="","",J86))))</f>
        <v/>
      </c>
      <c r="S86" s="13" t="str">
        <f aca="false">IF(R86="","",(R86-H86)*IF(M86="Long",1,-1)-2*Slippage)</f>
        <v/>
      </c>
      <c r="T86" s="14" t="str">
        <f aca="false">IF(OR(S86="",P86=0),"",S86/P86)</f>
        <v/>
      </c>
      <c r="U86" s="15" t="str">
        <f aca="false">IF(S86="","",S86*Punktwert*Kontrakte-Kommission*Kontrakte)</f>
        <v/>
      </c>
      <c r="V86" s="15" t="str">
        <f aca="false">IF(U86="","",SUM($U$5:U86))</f>
        <v/>
      </c>
      <c r="W86" s="15" t="str">
        <f aca="false">IF(V86="","",MAX(0,MAX($V$5:V86)))</f>
        <v/>
      </c>
      <c r="X86" s="15" t="str">
        <f aca="false">IF(V86="","",V86-W86)</f>
        <v/>
      </c>
      <c r="Y86" s="12" t="str">
        <f aca="false">IF(N86&lt;&gt;"Trade","",IF(P86=0,"Stop = Einstieg?",IF(I86="","Ergebnis eintragen",IF(AND(I86="Zeit",J86=""),"Kurs 11:30 fehlt",IF(OR(AND(M86="Short",H86&gt;F86),AND(M86="Long",H86&lt;G86)),"Einstieg prüfen","ok")))))</f>
        <v/>
      </c>
      <c r="Z86" s="16" t="str">
        <f aca="false">IF(A86="","",WEEKDAY(A86,2))</f>
        <v/>
      </c>
    </row>
    <row r="87" customFormat="false" ht="15" hidden="false" customHeight="false" outlineLevel="0" collapsed="false">
      <c r="A87" s="8"/>
      <c r="B87" s="9"/>
      <c r="C87" s="9"/>
      <c r="D87" s="9"/>
      <c r="E87" s="9"/>
      <c r="F87" s="9"/>
      <c r="G87" s="9"/>
      <c r="H87" s="9"/>
      <c r="I87" s="10"/>
      <c r="J87" s="9"/>
      <c r="K87" s="10"/>
      <c r="L87" s="11" t="str">
        <f aca="false">IF(OR(B87="",C87=""),"",(C87-B87)/B87)</f>
        <v/>
      </c>
      <c r="M87" s="12" t="str">
        <f aca="false">IF(L87="","",IF(ABS(L87)&lt;MinDrive,"kein Trade",IF(L87&gt;0,"Short","Long")))</f>
        <v/>
      </c>
      <c r="N87" s="12" t="str">
        <f aca="false">IF(OR(M87="",M87="kein Trade"),"",IF(H87="","kein Signal","Trade"))</f>
        <v/>
      </c>
      <c r="O87" s="13" t="str">
        <f aca="false">IF(N87&lt;&gt;"Trade","",IF(M87="Short",D87,E87))</f>
        <v/>
      </c>
      <c r="P87" s="13" t="str">
        <f aca="false">IF(N87&lt;&gt;"Trade","",ABS(H87-O87))</f>
        <v/>
      </c>
      <c r="Q87" s="13" t="str">
        <f aca="false">IF(N87&lt;&gt;"Trade","",H87+IF(M87="Long",1,-1)*ZielR*P87)</f>
        <v/>
      </c>
      <c r="R87" s="13" t="str">
        <f aca="false">IF(OR(N87&lt;&gt;"Trade",I87=""),"",IF(I87="Ziel",Q87,IF(I87="Stop",O87,IF(J87="","",J87))))</f>
        <v/>
      </c>
      <c r="S87" s="13" t="str">
        <f aca="false">IF(R87="","",(R87-H87)*IF(M87="Long",1,-1)-2*Slippage)</f>
        <v/>
      </c>
      <c r="T87" s="14" t="str">
        <f aca="false">IF(OR(S87="",P87=0),"",S87/P87)</f>
        <v/>
      </c>
      <c r="U87" s="15" t="str">
        <f aca="false">IF(S87="","",S87*Punktwert*Kontrakte-Kommission*Kontrakte)</f>
        <v/>
      </c>
      <c r="V87" s="15" t="str">
        <f aca="false">IF(U87="","",SUM($U$5:U87))</f>
        <v/>
      </c>
      <c r="W87" s="15" t="str">
        <f aca="false">IF(V87="","",MAX(0,MAX($V$5:V87)))</f>
        <v/>
      </c>
      <c r="X87" s="15" t="str">
        <f aca="false">IF(V87="","",V87-W87)</f>
        <v/>
      </c>
      <c r="Y87" s="12" t="str">
        <f aca="false">IF(N87&lt;&gt;"Trade","",IF(P87=0,"Stop = Einstieg?",IF(I87="","Ergebnis eintragen",IF(AND(I87="Zeit",J87=""),"Kurs 11:30 fehlt",IF(OR(AND(M87="Short",H87&gt;F87),AND(M87="Long",H87&lt;G87)),"Einstieg prüfen","ok")))))</f>
        <v/>
      </c>
      <c r="Z87" s="16" t="str">
        <f aca="false">IF(A87="","",WEEKDAY(A87,2))</f>
        <v/>
      </c>
    </row>
    <row r="88" customFormat="false" ht="15" hidden="false" customHeight="false" outlineLevel="0" collapsed="false">
      <c r="A88" s="8"/>
      <c r="B88" s="9"/>
      <c r="C88" s="9"/>
      <c r="D88" s="9"/>
      <c r="E88" s="9"/>
      <c r="F88" s="9"/>
      <c r="G88" s="9"/>
      <c r="H88" s="9"/>
      <c r="I88" s="10"/>
      <c r="J88" s="9"/>
      <c r="K88" s="10"/>
      <c r="L88" s="11" t="str">
        <f aca="false">IF(OR(B88="",C88=""),"",(C88-B88)/B88)</f>
        <v/>
      </c>
      <c r="M88" s="12" t="str">
        <f aca="false">IF(L88="","",IF(ABS(L88)&lt;MinDrive,"kein Trade",IF(L88&gt;0,"Short","Long")))</f>
        <v/>
      </c>
      <c r="N88" s="12" t="str">
        <f aca="false">IF(OR(M88="",M88="kein Trade"),"",IF(H88="","kein Signal","Trade"))</f>
        <v/>
      </c>
      <c r="O88" s="13" t="str">
        <f aca="false">IF(N88&lt;&gt;"Trade","",IF(M88="Short",D88,E88))</f>
        <v/>
      </c>
      <c r="P88" s="13" t="str">
        <f aca="false">IF(N88&lt;&gt;"Trade","",ABS(H88-O88))</f>
        <v/>
      </c>
      <c r="Q88" s="13" t="str">
        <f aca="false">IF(N88&lt;&gt;"Trade","",H88+IF(M88="Long",1,-1)*ZielR*P88)</f>
        <v/>
      </c>
      <c r="R88" s="13" t="str">
        <f aca="false">IF(OR(N88&lt;&gt;"Trade",I88=""),"",IF(I88="Ziel",Q88,IF(I88="Stop",O88,IF(J88="","",J88))))</f>
        <v/>
      </c>
      <c r="S88" s="13" t="str">
        <f aca="false">IF(R88="","",(R88-H88)*IF(M88="Long",1,-1)-2*Slippage)</f>
        <v/>
      </c>
      <c r="T88" s="14" t="str">
        <f aca="false">IF(OR(S88="",P88=0),"",S88/P88)</f>
        <v/>
      </c>
      <c r="U88" s="15" t="str">
        <f aca="false">IF(S88="","",S88*Punktwert*Kontrakte-Kommission*Kontrakte)</f>
        <v/>
      </c>
      <c r="V88" s="15" t="str">
        <f aca="false">IF(U88="","",SUM($U$5:U88))</f>
        <v/>
      </c>
      <c r="W88" s="15" t="str">
        <f aca="false">IF(V88="","",MAX(0,MAX($V$5:V88)))</f>
        <v/>
      </c>
      <c r="X88" s="15" t="str">
        <f aca="false">IF(V88="","",V88-W88)</f>
        <v/>
      </c>
      <c r="Y88" s="12" t="str">
        <f aca="false">IF(N88&lt;&gt;"Trade","",IF(P88=0,"Stop = Einstieg?",IF(I88="","Ergebnis eintragen",IF(AND(I88="Zeit",J88=""),"Kurs 11:30 fehlt",IF(OR(AND(M88="Short",H88&gt;F88),AND(M88="Long",H88&lt;G88)),"Einstieg prüfen","ok")))))</f>
        <v/>
      </c>
      <c r="Z88" s="16" t="str">
        <f aca="false">IF(A88="","",WEEKDAY(A88,2))</f>
        <v/>
      </c>
    </row>
    <row r="89" customFormat="false" ht="15" hidden="false" customHeight="false" outlineLevel="0" collapsed="false">
      <c r="A89" s="8"/>
      <c r="B89" s="9"/>
      <c r="C89" s="9"/>
      <c r="D89" s="9"/>
      <c r="E89" s="9"/>
      <c r="F89" s="9"/>
      <c r="G89" s="9"/>
      <c r="H89" s="9"/>
      <c r="I89" s="10"/>
      <c r="J89" s="9"/>
      <c r="K89" s="10"/>
      <c r="L89" s="11" t="str">
        <f aca="false">IF(OR(B89="",C89=""),"",(C89-B89)/B89)</f>
        <v/>
      </c>
      <c r="M89" s="12" t="str">
        <f aca="false">IF(L89="","",IF(ABS(L89)&lt;MinDrive,"kein Trade",IF(L89&gt;0,"Short","Long")))</f>
        <v/>
      </c>
      <c r="N89" s="12" t="str">
        <f aca="false">IF(OR(M89="",M89="kein Trade"),"",IF(H89="","kein Signal","Trade"))</f>
        <v/>
      </c>
      <c r="O89" s="13" t="str">
        <f aca="false">IF(N89&lt;&gt;"Trade","",IF(M89="Short",D89,E89))</f>
        <v/>
      </c>
      <c r="P89" s="13" t="str">
        <f aca="false">IF(N89&lt;&gt;"Trade","",ABS(H89-O89))</f>
        <v/>
      </c>
      <c r="Q89" s="13" t="str">
        <f aca="false">IF(N89&lt;&gt;"Trade","",H89+IF(M89="Long",1,-1)*ZielR*P89)</f>
        <v/>
      </c>
      <c r="R89" s="13" t="str">
        <f aca="false">IF(OR(N89&lt;&gt;"Trade",I89=""),"",IF(I89="Ziel",Q89,IF(I89="Stop",O89,IF(J89="","",J89))))</f>
        <v/>
      </c>
      <c r="S89" s="13" t="str">
        <f aca="false">IF(R89="","",(R89-H89)*IF(M89="Long",1,-1)-2*Slippage)</f>
        <v/>
      </c>
      <c r="T89" s="14" t="str">
        <f aca="false">IF(OR(S89="",P89=0),"",S89/P89)</f>
        <v/>
      </c>
      <c r="U89" s="15" t="str">
        <f aca="false">IF(S89="","",S89*Punktwert*Kontrakte-Kommission*Kontrakte)</f>
        <v/>
      </c>
      <c r="V89" s="15" t="str">
        <f aca="false">IF(U89="","",SUM($U$5:U89))</f>
        <v/>
      </c>
      <c r="W89" s="15" t="str">
        <f aca="false">IF(V89="","",MAX(0,MAX($V$5:V89)))</f>
        <v/>
      </c>
      <c r="X89" s="15" t="str">
        <f aca="false">IF(V89="","",V89-W89)</f>
        <v/>
      </c>
      <c r="Y89" s="12" t="str">
        <f aca="false">IF(N89&lt;&gt;"Trade","",IF(P89=0,"Stop = Einstieg?",IF(I89="","Ergebnis eintragen",IF(AND(I89="Zeit",J89=""),"Kurs 11:30 fehlt",IF(OR(AND(M89="Short",H89&gt;F89),AND(M89="Long",H89&lt;G89)),"Einstieg prüfen","ok")))))</f>
        <v/>
      </c>
      <c r="Z89" s="16" t="str">
        <f aca="false">IF(A89="","",WEEKDAY(A89,2))</f>
        <v/>
      </c>
    </row>
    <row r="90" customFormat="false" ht="15" hidden="false" customHeight="false" outlineLevel="0" collapsed="false">
      <c r="A90" s="8"/>
      <c r="B90" s="9"/>
      <c r="C90" s="9"/>
      <c r="D90" s="9"/>
      <c r="E90" s="9"/>
      <c r="F90" s="9"/>
      <c r="G90" s="9"/>
      <c r="H90" s="9"/>
      <c r="I90" s="10"/>
      <c r="J90" s="9"/>
      <c r="K90" s="10"/>
      <c r="L90" s="11" t="str">
        <f aca="false">IF(OR(B90="",C90=""),"",(C90-B90)/B90)</f>
        <v/>
      </c>
      <c r="M90" s="12" t="str">
        <f aca="false">IF(L90="","",IF(ABS(L90)&lt;MinDrive,"kein Trade",IF(L90&gt;0,"Short","Long")))</f>
        <v/>
      </c>
      <c r="N90" s="12" t="str">
        <f aca="false">IF(OR(M90="",M90="kein Trade"),"",IF(H90="","kein Signal","Trade"))</f>
        <v/>
      </c>
      <c r="O90" s="13" t="str">
        <f aca="false">IF(N90&lt;&gt;"Trade","",IF(M90="Short",D90,E90))</f>
        <v/>
      </c>
      <c r="P90" s="13" t="str">
        <f aca="false">IF(N90&lt;&gt;"Trade","",ABS(H90-O90))</f>
        <v/>
      </c>
      <c r="Q90" s="13" t="str">
        <f aca="false">IF(N90&lt;&gt;"Trade","",H90+IF(M90="Long",1,-1)*ZielR*P90)</f>
        <v/>
      </c>
      <c r="R90" s="13" t="str">
        <f aca="false">IF(OR(N90&lt;&gt;"Trade",I90=""),"",IF(I90="Ziel",Q90,IF(I90="Stop",O90,IF(J90="","",J90))))</f>
        <v/>
      </c>
      <c r="S90" s="13" t="str">
        <f aca="false">IF(R90="","",(R90-H90)*IF(M90="Long",1,-1)-2*Slippage)</f>
        <v/>
      </c>
      <c r="T90" s="14" t="str">
        <f aca="false">IF(OR(S90="",P90=0),"",S90/P90)</f>
        <v/>
      </c>
      <c r="U90" s="15" t="str">
        <f aca="false">IF(S90="","",S90*Punktwert*Kontrakte-Kommission*Kontrakte)</f>
        <v/>
      </c>
      <c r="V90" s="15" t="str">
        <f aca="false">IF(U90="","",SUM($U$5:U90))</f>
        <v/>
      </c>
      <c r="W90" s="15" t="str">
        <f aca="false">IF(V90="","",MAX(0,MAX($V$5:V90)))</f>
        <v/>
      </c>
      <c r="X90" s="15" t="str">
        <f aca="false">IF(V90="","",V90-W90)</f>
        <v/>
      </c>
      <c r="Y90" s="12" t="str">
        <f aca="false">IF(N90&lt;&gt;"Trade","",IF(P90=0,"Stop = Einstieg?",IF(I90="","Ergebnis eintragen",IF(AND(I90="Zeit",J90=""),"Kurs 11:30 fehlt",IF(OR(AND(M90="Short",H90&gt;F90),AND(M90="Long",H90&lt;G90)),"Einstieg prüfen","ok")))))</f>
        <v/>
      </c>
      <c r="Z90" s="16" t="str">
        <f aca="false">IF(A90="","",WEEKDAY(A90,2))</f>
        <v/>
      </c>
    </row>
    <row r="91" customFormat="false" ht="15" hidden="false" customHeight="false" outlineLevel="0" collapsed="false">
      <c r="A91" s="8"/>
      <c r="B91" s="9"/>
      <c r="C91" s="9"/>
      <c r="D91" s="9"/>
      <c r="E91" s="9"/>
      <c r="F91" s="9"/>
      <c r="G91" s="9"/>
      <c r="H91" s="9"/>
      <c r="I91" s="10"/>
      <c r="J91" s="9"/>
      <c r="K91" s="10"/>
      <c r="L91" s="11" t="str">
        <f aca="false">IF(OR(B91="",C91=""),"",(C91-B91)/B91)</f>
        <v/>
      </c>
      <c r="M91" s="12" t="str">
        <f aca="false">IF(L91="","",IF(ABS(L91)&lt;MinDrive,"kein Trade",IF(L91&gt;0,"Short","Long")))</f>
        <v/>
      </c>
      <c r="N91" s="12" t="str">
        <f aca="false">IF(OR(M91="",M91="kein Trade"),"",IF(H91="","kein Signal","Trade"))</f>
        <v/>
      </c>
      <c r="O91" s="13" t="str">
        <f aca="false">IF(N91&lt;&gt;"Trade","",IF(M91="Short",D91,E91))</f>
        <v/>
      </c>
      <c r="P91" s="13" t="str">
        <f aca="false">IF(N91&lt;&gt;"Trade","",ABS(H91-O91))</f>
        <v/>
      </c>
      <c r="Q91" s="13" t="str">
        <f aca="false">IF(N91&lt;&gt;"Trade","",H91+IF(M91="Long",1,-1)*ZielR*P91)</f>
        <v/>
      </c>
      <c r="R91" s="13" t="str">
        <f aca="false">IF(OR(N91&lt;&gt;"Trade",I91=""),"",IF(I91="Ziel",Q91,IF(I91="Stop",O91,IF(J91="","",J91))))</f>
        <v/>
      </c>
      <c r="S91" s="13" t="str">
        <f aca="false">IF(R91="","",(R91-H91)*IF(M91="Long",1,-1)-2*Slippage)</f>
        <v/>
      </c>
      <c r="T91" s="14" t="str">
        <f aca="false">IF(OR(S91="",P91=0),"",S91/P91)</f>
        <v/>
      </c>
      <c r="U91" s="15" t="str">
        <f aca="false">IF(S91="","",S91*Punktwert*Kontrakte-Kommission*Kontrakte)</f>
        <v/>
      </c>
      <c r="V91" s="15" t="str">
        <f aca="false">IF(U91="","",SUM($U$5:U91))</f>
        <v/>
      </c>
      <c r="W91" s="15" t="str">
        <f aca="false">IF(V91="","",MAX(0,MAX($V$5:V91)))</f>
        <v/>
      </c>
      <c r="X91" s="15" t="str">
        <f aca="false">IF(V91="","",V91-W91)</f>
        <v/>
      </c>
      <c r="Y91" s="12" t="str">
        <f aca="false">IF(N91&lt;&gt;"Trade","",IF(P91=0,"Stop = Einstieg?",IF(I91="","Ergebnis eintragen",IF(AND(I91="Zeit",J91=""),"Kurs 11:30 fehlt",IF(OR(AND(M91="Short",H91&gt;F91),AND(M91="Long",H91&lt;G91)),"Einstieg prüfen","ok")))))</f>
        <v/>
      </c>
      <c r="Z91" s="16" t="str">
        <f aca="false">IF(A91="","",WEEKDAY(A91,2))</f>
        <v/>
      </c>
    </row>
    <row r="92" customFormat="false" ht="15" hidden="false" customHeight="false" outlineLevel="0" collapsed="false">
      <c r="A92" s="8"/>
      <c r="B92" s="9"/>
      <c r="C92" s="9"/>
      <c r="D92" s="9"/>
      <c r="E92" s="9"/>
      <c r="F92" s="9"/>
      <c r="G92" s="9"/>
      <c r="H92" s="9"/>
      <c r="I92" s="10"/>
      <c r="J92" s="9"/>
      <c r="K92" s="10"/>
      <c r="L92" s="11" t="str">
        <f aca="false">IF(OR(B92="",C92=""),"",(C92-B92)/B92)</f>
        <v/>
      </c>
      <c r="M92" s="12" t="str">
        <f aca="false">IF(L92="","",IF(ABS(L92)&lt;MinDrive,"kein Trade",IF(L92&gt;0,"Short","Long")))</f>
        <v/>
      </c>
      <c r="N92" s="12" t="str">
        <f aca="false">IF(OR(M92="",M92="kein Trade"),"",IF(H92="","kein Signal","Trade"))</f>
        <v/>
      </c>
      <c r="O92" s="13" t="str">
        <f aca="false">IF(N92&lt;&gt;"Trade","",IF(M92="Short",D92,E92))</f>
        <v/>
      </c>
      <c r="P92" s="13" t="str">
        <f aca="false">IF(N92&lt;&gt;"Trade","",ABS(H92-O92))</f>
        <v/>
      </c>
      <c r="Q92" s="13" t="str">
        <f aca="false">IF(N92&lt;&gt;"Trade","",H92+IF(M92="Long",1,-1)*ZielR*P92)</f>
        <v/>
      </c>
      <c r="R92" s="13" t="str">
        <f aca="false">IF(OR(N92&lt;&gt;"Trade",I92=""),"",IF(I92="Ziel",Q92,IF(I92="Stop",O92,IF(J92="","",J92))))</f>
        <v/>
      </c>
      <c r="S92" s="13" t="str">
        <f aca="false">IF(R92="","",(R92-H92)*IF(M92="Long",1,-1)-2*Slippage)</f>
        <v/>
      </c>
      <c r="T92" s="14" t="str">
        <f aca="false">IF(OR(S92="",P92=0),"",S92/P92)</f>
        <v/>
      </c>
      <c r="U92" s="15" t="str">
        <f aca="false">IF(S92="","",S92*Punktwert*Kontrakte-Kommission*Kontrakte)</f>
        <v/>
      </c>
      <c r="V92" s="15" t="str">
        <f aca="false">IF(U92="","",SUM($U$5:U92))</f>
        <v/>
      </c>
      <c r="W92" s="15" t="str">
        <f aca="false">IF(V92="","",MAX(0,MAX($V$5:V92)))</f>
        <v/>
      </c>
      <c r="X92" s="15" t="str">
        <f aca="false">IF(V92="","",V92-W92)</f>
        <v/>
      </c>
      <c r="Y92" s="12" t="str">
        <f aca="false">IF(N92&lt;&gt;"Trade","",IF(P92=0,"Stop = Einstieg?",IF(I92="","Ergebnis eintragen",IF(AND(I92="Zeit",J92=""),"Kurs 11:30 fehlt",IF(OR(AND(M92="Short",H92&gt;F92),AND(M92="Long",H92&lt;G92)),"Einstieg prüfen","ok")))))</f>
        <v/>
      </c>
      <c r="Z92" s="16" t="str">
        <f aca="false">IF(A92="","",WEEKDAY(A92,2))</f>
        <v/>
      </c>
    </row>
    <row r="93" customFormat="false" ht="15" hidden="false" customHeight="false" outlineLevel="0" collapsed="false">
      <c r="A93" s="8"/>
      <c r="B93" s="9"/>
      <c r="C93" s="9"/>
      <c r="D93" s="9"/>
      <c r="E93" s="9"/>
      <c r="F93" s="9"/>
      <c r="G93" s="9"/>
      <c r="H93" s="9"/>
      <c r="I93" s="10"/>
      <c r="J93" s="9"/>
      <c r="K93" s="10"/>
      <c r="L93" s="11" t="str">
        <f aca="false">IF(OR(B93="",C93=""),"",(C93-B93)/B93)</f>
        <v/>
      </c>
      <c r="M93" s="12" t="str">
        <f aca="false">IF(L93="","",IF(ABS(L93)&lt;MinDrive,"kein Trade",IF(L93&gt;0,"Short","Long")))</f>
        <v/>
      </c>
      <c r="N93" s="12" t="str">
        <f aca="false">IF(OR(M93="",M93="kein Trade"),"",IF(H93="","kein Signal","Trade"))</f>
        <v/>
      </c>
      <c r="O93" s="13" t="str">
        <f aca="false">IF(N93&lt;&gt;"Trade","",IF(M93="Short",D93,E93))</f>
        <v/>
      </c>
      <c r="P93" s="13" t="str">
        <f aca="false">IF(N93&lt;&gt;"Trade","",ABS(H93-O93))</f>
        <v/>
      </c>
      <c r="Q93" s="13" t="str">
        <f aca="false">IF(N93&lt;&gt;"Trade","",H93+IF(M93="Long",1,-1)*ZielR*P93)</f>
        <v/>
      </c>
      <c r="R93" s="13" t="str">
        <f aca="false">IF(OR(N93&lt;&gt;"Trade",I93=""),"",IF(I93="Ziel",Q93,IF(I93="Stop",O93,IF(J93="","",J93))))</f>
        <v/>
      </c>
      <c r="S93" s="13" t="str">
        <f aca="false">IF(R93="","",(R93-H93)*IF(M93="Long",1,-1)-2*Slippage)</f>
        <v/>
      </c>
      <c r="T93" s="14" t="str">
        <f aca="false">IF(OR(S93="",P93=0),"",S93/P93)</f>
        <v/>
      </c>
      <c r="U93" s="15" t="str">
        <f aca="false">IF(S93="","",S93*Punktwert*Kontrakte-Kommission*Kontrakte)</f>
        <v/>
      </c>
      <c r="V93" s="15" t="str">
        <f aca="false">IF(U93="","",SUM($U$5:U93))</f>
        <v/>
      </c>
      <c r="W93" s="15" t="str">
        <f aca="false">IF(V93="","",MAX(0,MAX($V$5:V93)))</f>
        <v/>
      </c>
      <c r="X93" s="15" t="str">
        <f aca="false">IF(V93="","",V93-W93)</f>
        <v/>
      </c>
      <c r="Y93" s="12" t="str">
        <f aca="false">IF(N93&lt;&gt;"Trade","",IF(P93=0,"Stop = Einstieg?",IF(I93="","Ergebnis eintragen",IF(AND(I93="Zeit",J93=""),"Kurs 11:30 fehlt",IF(OR(AND(M93="Short",H93&gt;F93),AND(M93="Long",H93&lt;G93)),"Einstieg prüfen","ok")))))</f>
        <v/>
      </c>
      <c r="Z93" s="16" t="str">
        <f aca="false">IF(A93="","",WEEKDAY(A93,2))</f>
        <v/>
      </c>
    </row>
    <row r="94" customFormat="false" ht="15" hidden="false" customHeight="false" outlineLevel="0" collapsed="false">
      <c r="A94" s="8"/>
      <c r="B94" s="9"/>
      <c r="C94" s="9"/>
      <c r="D94" s="9"/>
      <c r="E94" s="9"/>
      <c r="F94" s="9"/>
      <c r="G94" s="9"/>
      <c r="H94" s="9"/>
      <c r="I94" s="10"/>
      <c r="J94" s="9"/>
      <c r="K94" s="10"/>
      <c r="L94" s="11" t="str">
        <f aca="false">IF(OR(B94="",C94=""),"",(C94-B94)/B94)</f>
        <v/>
      </c>
      <c r="M94" s="12" t="str">
        <f aca="false">IF(L94="","",IF(ABS(L94)&lt;MinDrive,"kein Trade",IF(L94&gt;0,"Short","Long")))</f>
        <v/>
      </c>
      <c r="N94" s="12" t="str">
        <f aca="false">IF(OR(M94="",M94="kein Trade"),"",IF(H94="","kein Signal","Trade"))</f>
        <v/>
      </c>
      <c r="O94" s="13" t="str">
        <f aca="false">IF(N94&lt;&gt;"Trade","",IF(M94="Short",D94,E94))</f>
        <v/>
      </c>
      <c r="P94" s="13" t="str">
        <f aca="false">IF(N94&lt;&gt;"Trade","",ABS(H94-O94))</f>
        <v/>
      </c>
      <c r="Q94" s="13" t="str">
        <f aca="false">IF(N94&lt;&gt;"Trade","",H94+IF(M94="Long",1,-1)*ZielR*P94)</f>
        <v/>
      </c>
      <c r="R94" s="13" t="str">
        <f aca="false">IF(OR(N94&lt;&gt;"Trade",I94=""),"",IF(I94="Ziel",Q94,IF(I94="Stop",O94,IF(J94="","",J94))))</f>
        <v/>
      </c>
      <c r="S94" s="13" t="str">
        <f aca="false">IF(R94="","",(R94-H94)*IF(M94="Long",1,-1)-2*Slippage)</f>
        <v/>
      </c>
      <c r="T94" s="14" t="str">
        <f aca="false">IF(OR(S94="",P94=0),"",S94/P94)</f>
        <v/>
      </c>
      <c r="U94" s="15" t="str">
        <f aca="false">IF(S94="","",S94*Punktwert*Kontrakte-Kommission*Kontrakte)</f>
        <v/>
      </c>
      <c r="V94" s="15" t="str">
        <f aca="false">IF(U94="","",SUM($U$5:U94))</f>
        <v/>
      </c>
      <c r="W94" s="15" t="str">
        <f aca="false">IF(V94="","",MAX(0,MAX($V$5:V94)))</f>
        <v/>
      </c>
      <c r="X94" s="15" t="str">
        <f aca="false">IF(V94="","",V94-W94)</f>
        <v/>
      </c>
      <c r="Y94" s="12" t="str">
        <f aca="false">IF(N94&lt;&gt;"Trade","",IF(P94=0,"Stop = Einstieg?",IF(I94="","Ergebnis eintragen",IF(AND(I94="Zeit",J94=""),"Kurs 11:30 fehlt",IF(OR(AND(M94="Short",H94&gt;F94),AND(M94="Long",H94&lt;G94)),"Einstieg prüfen","ok")))))</f>
        <v/>
      </c>
      <c r="Z94" s="16" t="str">
        <f aca="false">IF(A94="","",WEEKDAY(A94,2))</f>
        <v/>
      </c>
    </row>
    <row r="95" customFormat="false" ht="15" hidden="false" customHeight="false" outlineLevel="0" collapsed="false">
      <c r="A95" s="8"/>
      <c r="B95" s="9"/>
      <c r="C95" s="9"/>
      <c r="D95" s="9"/>
      <c r="E95" s="9"/>
      <c r="F95" s="9"/>
      <c r="G95" s="9"/>
      <c r="H95" s="9"/>
      <c r="I95" s="10"/>
      <c r="J95" s="9"/>
      <c r="K95" s="10"/>
      <c r="L95" s="11" t="str">
        <f aca="false">IF(OR(B95="",C95=""),"",(C95-B95)/B95)</f>
        <v/>
      </c>
      <c r="M95" s="12" t="str">
        <f aca="false">IF(L95="","",IF(ABS(L95)&lt;MinDrive,"kein Trade",IF(L95&gt;0,"Short","Long")))</f>
        <v/>
      </c>
      <c r="N95" s="12" t="str">
        <f aca="false">IF(OR(M95="",M95="kein Trade"),"",IF(H95="","kein Signal","Trade"))</f>
        <v/>
      </c>
      <c r="O95" s="13" t="str">
        <f aca="false">IF(N95&lt;&gt;"Trade","",IF(M95="Short",D95,E95))</f>
        <v/>
      </c>
      <c r="P95" s="13" t="str">
        <f aca="false">IF(N95&lt;&gt;"Trade","",ABS(H95-O95))</f>
        <v/>
      </c>
      <c r="Q95" s="13" t="str">
        <f aca="false">IF(N95&lt;&gt;"Trade","",H95+IF(M95="Long",1,-1)*ZielR*P95)</f>
        <v/>
      </c>
      <c r="R95" s="13" t="str">
        <f aca="false">IF(OR(N95&lt;&gt;"Trade",I95=""),"",IF(I95="Ziel",Q95,IF(I95="Stop",O95,IF(J95="","",J95))))</f>
        <v/>
      </c>
      <c r="S95" s="13" t="str">
        <f aca="false">IF(R95="","",(R95-H95)*IF(M95="Long",1,-1)-2*Slippage)</f>
        <v/>
      </c>
      <c r="T95" s="14" t="str">
        <f aca="false">IF(OR(S95="",P95=0),"",S95/P95)</f>
        <v/>
      </c>
      <c r="U95" s="15" t="str">
        <f aca="false">IF(S95="","",S95*Punktwert*Kontrakte-Kommission*Kontrakte)</f>
        <v/>
      </c>
      <c r="V95" s="15" t="str">
        <f aca="false">IF(U95="","",SUM($U$5:U95))</f>
        <v/>
      </c>
      <c r="W95" s="15" t="str">
        <f aca="false">IF(V95="","",MAX(0,MAX($V$5:V95)))</f>
        <v/>
      </c>
      <c r="X95" s="15" t="str">
        <f aca="false">IF(V95="","",V95-W95)</f>
        <v/>
      </c>
      <c r="Y95" s="12" t="str">
        <f aca="false">IF(N95&lt;&gt;"Trade","",IF(P95=0,"Stop = Einstieg?",IF(I95="","Ergebnis eintragen",IF(AND(I95="Zeit",J95=""),"Kurs 11:30 fehlt",IF(OR(AND(M95="Short",H95&gt;F95),AND(M95="Long",H95&lt;G95)),"Einstieg prüfen","ok")))))</f>
        <v/>
      </c>
      <c r="Z95" s="16" t="str">
        <f aca="false">IF(A95="","",WEEKDAY(A95,2))</f>
        <v/>
      </c>
    </row>
    <row r="96" customFormat="false" ht="15" hidden="false" customHeight="false" outlineLevel="0" collapsed="false">
      <c r="A96" s="8"/>
      <c r="B96" s="9"/>
      <c r="C96" s="9"/>
      <c r="D96" s="9"/>
      <c r="E96" s="9"/>
      <c r="F96" s="9"/>
      <c r="G96" s="9"/>
      <c r="H96" s="9"/>
      <c r="I96" s="10"/>
      <c r="J96" s="9"/>
      <c r="K96" s="10"/>
      <c r="L96" s="11" t="str">
        <f aca="false">IF(OR(B96="",C96=""),"",(C96-B96)/B96)</f>
        <v/>
      </c>
      <c r="M96" s="12" t="str">
        <f aca="false">IF(L96="","",IF(ABS(L96)&lt;MinDrive,"kein Trade",IF(L96&gt;0,"Short","Long")))</f>
        <v/>
      </c>
      <c r="N96" s="12" t="str">
        <f aca="false">IF(OR(M96="",M96="kein Trade"),"",IF(H96="","kein Signal","Trade"))</f>
        <v/>
      </c>
      <c r="O96" s="13" t="str">
        <f aca="false">IF(N96&lt;&gt;"Trade","",IF(M96="Short",D96,E96))</f>
        <v/>
      </c>
      <c r="P96" s="13" t="str">
        <f aca="false">IF(N96&lt;&gt;"Trade","",ABS(H96-O96))</f>
        <v/>
      </c>
      <c r="Q96" s="13" t="str">
        <f aca="false">IF(N96&lt;&gt;"Trade","",H96+IF(M96="Long",1,-1)*ZielR*P96)</f>
        <v/>
      </c>
      <c r="R96" s="13" t="str">
        <f aca="false">IF(OR(N96&lt;&gt;"Trade",I96=""),"",IF(I96="Ziel",Q96,IF(I96="Stop",O96,IF(J96="","",J96))))</f>
        <v/>
      </c>
      <c r="S96" s="13" t="str">
        <f aca="false">IF(R96="","",(R96-H96)*IF(M96="Long",1,-1)-2*Slippage)</f>
        <v/>
      </c>
      <c r="T96" s="14" t="str">
        <f aca="false">IF(OR(S96="",P96=0),"",S96/P96)</f>
        <v/>
      </c>
      <c r="U96" s="15" t="str">
        <f aca="false">IF(S96="","",S96*Punktwert*Kontrakte-Kommission*Kontrakte)</f>
        <v/>
      </c>
      <c r="V96" s="15" t="str">
        <f aca="false">IF(U96="","",SUM($U$5:U96))</f>
        <v/>
      </c>
      <c r="W96" s="15" t="str">
        <f aca="false">IF(V96="","",MAX(0,MAX($V$5:V96)))</f>
        <v/>
      </c>
      <c r="X96" s="15" t="str">
        <f aca="false">IF(V96="","",V96-W96)</f>
        <v/>
      </c>
      <c r="Y96" s="12" t="str">
        <f aca="false">IF(N96&lt;&gt;"Trade","",IF(P96=0,"Stop = Einstieg?",IF(I96="","Ergebnis eintragen",IF(AND(I96="Zeit",J96=""),"Kurs 11:30 fehlt",IF(OR(AND(M96="Short",H96&gt;F96),AND(M96="Long",H96&lt;G96)),"Einstieg prüfen","ok")))))</f>
        <v/>
      </c>
      <c r="Z96" s="16" t="str">
        <f aca="false">IF(A96="","",WEEKDAY(A96,2))</f>
        <v/>
      </c>
    </row>
    <row r="97" customFormat="false" ht="15" hidden="false" customHeight="false" outlineLevel="0" collapsed="false">
      <c r="A97" s="8"/>
      <c r="B97" s="9"/>
      <c r="C97" s="9"/>
      <c r="D97" s="9"/>
      <c r="E97" s="9"/>
      <c r="F97" s="9"/>
      <c r="G97" s="9"/>
      <c r="H97" s="9"/>
      <c r="I97" s="10"/>
      <c r="J97" s="9"/>
      <c r="K97" s="10"/>
      <c r="L97" s="11" t="str">
        <f aca="false">IF(OR(B97="",C97=""),"",(C97-B97)/B97)</f>
        <v/>
      </c>
      <c r="M97" s="12" t="str">
        <f aca="false">IF(L97="","",IF(ABS(L97)&lt;MinDrive,"kein Trade",IF(L97&gt;0,"Short","Long")))</f>
        <v/>
      </c>
      <c r="N97" s="12" t="str">
        <f aca="false">IF(OR(M97="",M97="kein Trade"),"",IF(H97="","kein Signal","Trade"))</f>
        <v/>
      </c>
      <c r="O97" s="13" t="str">
        <f aca="false">IF(N97&lt;&gt;"Trade","",IF(M97="Short",D97,E97))</f>
        <v/>
      </c>
      <c r="P97" s="13" t="str">
        <f aca="false">IF(N97&lt;&gt;"Trade","",ABS(H97-O97))</f>
        <v/>
      </c>
      <c r="Q97" s="13" t="str">
        <f aca="false">IF(N97&lt;&gt;"Trade","",H97+IF(M97="Long",1,-1)*ZielR*P97)</f>
        <v/>
      </c>
      <c r="R97" s="13" t="str">
        <f aca="false">IF(OR(N97&lt;&gt;"Trade",I97=""),"",IF(I97="Ziel",Q97,IF(I97="Stop",O97,IF(J97="","",J97))))</f>
        <v/>
      </c>
      <c r="S97" s="13" t="str">
        <f aca="false">IF(R97="","",(R97-H97)*IF(M97="Long",1,-1)-2*Slippage)</f>
        <v/>
      </c>
      <c r="T97" s="14" t="str">
        <f aca="false">IF(OR(S97="",P97=0),"",S97/P97)</f>
        <v/>
      </c>
      <c r="U97" s="15" t="str">
        <f aca="false">IF(S97="","",S97*Punktwert*Kontrakte-Kommission*Kontrakte)</f>
        <v/>
      </c>
      <c r="V97" s="15" t="str">
        <f aca="false">IF(U97="","",SUM($U$5:U97))</f>
        <v/>
      </c>
      <c r="W97" s="15" t="str">
        <f aca="false">IF(V97="","",MAX(0,MAX($V$5:V97)))</f>
        <v/>
      </c>
      <c r="X97" s="15" t="str">
        <f aca="false">IF(V97="","",V97-W97)</f>
        <v/>
      </c>
      <c r="Y97" s="12" t="str">
        <f aca="false">IF(N97&lt;&gt;"Trade","",IF(P97=0,"Stop = Einstieg?",IF(I97="","Ergebnis eintragen",IF(AND(I97="Zeit",J97=""),"Kurs 11:30 fehlt",IF(OR(AND(M97="Short",H97&gt;F97),AND(M97="Long",H97&lt;G97)),"Einstieg prüfen","ok")))))</f>
        <v/>
      </c>
      <c r="Z97" s="16" t="str">
        <f aca="false">IF(A97="","",WEEKDAY(A97,2))</f>
        <v/>
      </c>
    </row>
    <row r="98" customFormat="false" ht="15" hidden="false" customHeight="false" outlineLevel="0" collapsed="false">
      <c r="A98" s="8"/>
      <c r="B98" s="9"/>
      <c r="C98" s="9"/>
      <c r="D98" s="9"/>
      <c r="E98" s="9"/>
      <c r="F98" s="9"/>
      <c r="G98" s="9"/>
      <c r="H98" s="9"/>
      <c r="I98" s="10"/>
      <c r="J98" s="9"/>
      <c r="K98" s="10"/>
      <c r="L98" s="11" t="str">
        <f aca="false">IF(OR(B98="",C98=""),"",(C98-B98)/B98)</f>
        <v/>
      </c>
      <c r="M98" s="12" t="str">
        <f aca="false">IF(L98="","",IF(ABS(L98)&lt;MinDrive,"kein Trade",IF(L98&gt;0,"Short","Long")))</f>
        <v/>
      </c>
      <c r="N98" s="12" t="str">
        <f aca="false">IF(OR(M98="",M98="kein Trade"),"",IF(H98="","kein Signal","Trade"))</f>
        <v/>
      </c>
      <c r="O98" s="13" t="str">
        <f aca="false">IF(N98&lt;&gt;"Trade","",IF(M98="Short",D98,E98))</f>
        <v/>
      </c>
      <c r="P98" s="13" t="str">
        <f aca="false">IF(N98&lt;&gt;"Trade","",ABS(H98-O98))</f>
        <v/>
      </c>
      <c r="Q98" s="13" t="str">
        <f aca="false">IF(N98&lt;&gt;"Trade","",H98+IF(M98="Long",1,-1)*ZielR*P98)</f>
        <v/>
      </c>
      <c r="R98" s="13" t="str">
        <f aca="false">IF(OR(N98&lt;&gt;"Trade",I98=""),"",IF(I98="Ziel",Q98,IF(I98="Stop",O98,IF(J98="","",J98))))</f>
        <v/>
      </c>
      <c r="S98" s="13" t="str">
        <f aca="false">IF(R98="","",(R98-H98)*IF(M98="Long",1,-1)-2*Slippage)</f>
        <v/>
      </c>
      <c r="T98" s="14" t="str">
        <f aca="false">IF(OR(S98="",P98=0),"",S98/P98)</f>
        <v/>
      </c>
      <c r="U98" s="15" t="str">
        <f aca="false">IF(S98="","",S98*Punktwert*Kontrakte-Kommission*Kontrakte)</f>
        <v/>
      </c>
      <c r="V98" s="15" t="str">
        <f aca="false">IF(U98="","",SUM($U$5:U98))</f>
        <v/>
      </c>
      <c r="W98" s="15" t="str">
        <f aca="false">IF(V98="","",MAX(0,MAX($V$5:V98)))</f>
        <v/>
      </c>
      <c r="X98" s="15" t="str">
        <f aca="false">IF(V98="","",V98-W98)</f>
        <v/>
      </c>
      <c r="Y98" s="12" t="str">
        <f aca="false">IF(N98&lt;&gt;"Trade","",IF(P98=0,"Stop = Einstieg?",IF(I98="","Ergebnis eintragen",IF(AND(I98="Zeit",J98=""),"Kurs 11:30 fehlt",IF(OR(AND(M98="Short",H98&gt;F98),AND(M98="Long",H98&lt;G98)),"Einstieg prüfen","ok")))))</f>
        <v/>
      </c>
      <c r="Z98" s="16" t="str">
        <f aca="false">IF(A98="","",WEEKDAY(A98,2))</f>
        <v/>
      </c>
    </row>
    <row r="99" customFormat="false" ht="15" hidden="false" customHeight="false" outlineLevel="0" collapsed="false">
      <c r="A99" s="8"/>
      <c r="B99" s="9"/>
      <c r="C99" s="9"/>
      <c r="D99" s="9"/>
      <c r="E99" s="9"/>
      <c r="F99" s="9"/>
      <c r="G99" s="9"/>
      <c r="H99" s="9"/>
      <c r="I99" s="10"/>
      <c r="J99" s="9"/>
      <c r="K99" s="10"/>
      <c r="L99" s="11" t="str">
        <f aca="false">IF(OR(B99="",C99=""),"",(C99-B99)/B99)</f>
        <v/>
      </c>
      <c r="M99" s="12" t="str">
        <f aca="false">IF(L99="","",IF(ABS(L99)&lt;MinDrive,"kein Trade",IF(L99&gt;0,"Short","Long")))</f>
        <v/>
      </c>
      <c r="N99" s="12" t="str">
        <f aca="false">IF(OR(M99="",M99="kein Trade"),"",IF(H99="","kein Signal","Trade"))</f>
        <v/>
      </c>
      <c r="O99" s="13" t="str">
        <f aca="false">IF(N99&lt;&gt;"Trade","",IF(M99="Short",D99,E99))</f>
        <v/>
      </c>
      <c r="P99" s="13" t="str">
        <f aca="false">IF(N99&lt;&gt;"Trade","",ABS(H99-O99))</f>
        <v/>
      </c>
      <c r="Q99" s="13" t="str">
        <f aca="false">IF(N99&lt;&gt;"Trade","",H99+IF(M99="Long",1,-1)*ZielR*P99)</f>
        <v/>
      </c>
      <c r="R99" s="13" t="str">
        <f aca="false">IF(OR(N99&lt;&gt;"Trade",I99=""),"",IF(I99="Ziel",Q99,IF(I99="Stop",O99,IF(J99="","",J99))))</f>
        <v/>
      </c>
      <c r="S99" s="13" t="str">
        <f aca="false">IF(R99="","",(R99-H99)*IF(M99="Long",1,-1)-2*Slippage)</f>
        <v/>
      </c>
      <c r="T99" s="14" t="str">
        <f aca="false">IF(OR(S99="",P99=0),"",S99/P99)</f>
        <v/>
      </c>
      <c r="U99" s="15" t="str">
        <f aca="false">IF(S99="","",S99*Punktwert*Kontrakte-Kommission*Kontrakte)</f>
        <v/>
      </c>
      <c r="V99" s="15" t="str">
        <f aca="false">IF(U99="","",SUM($U$5:U99))</f>
        <v/>
      </c>
      <c r="W99" s="15" t="str">
        <f aca="false">IF(V99="","",MAX(0,MAX($V$5:V99)))</f>
        <v/>
      </c>
      <c r="X99" s="15" t="str">
        <f aca="false">IF(V99="","",V99-W99)</f>
        <v/>
      </c>
      <c r="Y99" s="12" t="str">
        <f aca="false">IF(N99&lt;&gt;"Trade","",IF(P99=0,"Stop = Einstieg?",IF(I99="","Ergebnis eintragen",IF(AND(I99="Zeit",J99=""),"Kurs 11:30 fehlt",IF(OR(AND(M99="Short",H99&gt;F99),AND(M99="Long",H99&lt;G99)),"Einstieg prüfen","ok")))))</f>
        <v/>
      </c>
      <c r="Z99" s="16" t="str">
        <f aca="false">IF(A99="","",WEEKDAY(A99,2))</f>
        <v/>
      </c>
    </row>
    <row r="100" customFormat="false" ht="15" hidden="false" customHeight="false" outlineLevel="0" collapsed="false">
      <c r="A100" s="8"/>
      <c r="B100" s="9"/>
      <c r="C100" s="9"/>
      <c r="D100" s="9"/>
      <c r="E100" s="9"/>
      <c r="F100" s="9"/>
      <c r="G100" s="9"/>
      <c r="H100" s="9"/>
      <c r="I100" s="10"/>
      <c r="J100" s="9"/>
      <c r="K100" s="10"/>
      <c r="L100" s="11" t="str">
        <f aca="false">IF(OR(B100="",C100=""),"",(C100-B100)/B100)</f>
        <v/>
      </c>
      <c r="M100" s="12" t="str">
        <f aca="false">IF(L100="","",IF(ABS(L100)&lt;MinDrive,"kein Trade",IF(L100&gt;0,"Short","Long")))</f>
        <v/>
      </c>
      <c r="N100" s="12" t="str">
        <f aca="false">IF(OR(M100="",M100="kein Trade"),"",IF(H100="","kein Signal","Trade"))</f>
        <v/>
      </c>
      <c r="O100" s="13" t="str">
        <f aca="false">IF(N100&lt;&gt;"Trade","",IF(M100="Short",D100,E100))</f>
        <v/>
      </c>
      <c r="P100" s="13" t="str">
        <f aca="false">IF(N100&lt;&gt;"Trade","",ABS(H100-O100))</f>
        <v/>
      </c>
      <c r="Q100" s="13" t="str">
        <f aca="false">IF(N100&lt;&gt;"Trade","",H100+IF(M100="Long",1,-1)*ZielR*P100)</f>
        <v/>
      </c>
      <c r="R100" s="13" t="str">
        <f aca="false">IF(OR(N100&lt;&gt;"Trade",I100=""),"",IF(I100="Ziel",Q100,IF(I100="Stop",O100,IF(J100="","",J100))))</f>
        <v/>
      </c>
      <c r="S100" s="13" t="str">
        <f aca="false">IF(R100="","",(R100-H100)*IF(M100="Long",1,-1)-2*Slippage)</f>
        <v/>
      </c>
      <c r="T100" s="14" t="str">
        <f aca="false">IF(OR(S100="",P100=0),"",S100/P100)</f>
        <v/>
      </c>
      <c r="U100" s="15" t="str">
        <f aca="false">IF(S100="","",S100*Punktwert*Kontrakte-Kommission*Kontrakte)</f>
        <v/>
      </c>
      <c r="V100" s="15" t="str">
        <f aca="false">IF(U100="","",SUM($U$5:U100))</f>
        <v/>
      </c>
      <c r="W100" s="15" t="str">
        <f aca="false">IF(V100="","",MAX(0,MAX($V$5:V100)))</f>
        <v/>
      </c>
      <c r="X100" s="15" t="str">
        <f aca="false">IF(V100="","",V100-W100)</f>
        <v/>
      </c>
      <c r="Y100" s="12" t="str">
        <f aca="false">IF(N100&lt;&gt;"Trade","",IF(P100=0,"Stop = Einstieg?",IF(I100="","Ergebnis eintragen",IF(AND(I100="Zeit",J100=""),"Kurs 11:30 fehlt",IF(OR(AND(M100="Short",H100&gt;F100),AND(M100="Long",H100&lt;G100)),"Einstieg prüfen","ok")))))</f>
        <v/>
      </c>
      <c r="Z100" s="16" t="str">
        <f aca="false">IF(A100="","",WEEKDAY(A100,2))</f>
        <v/>
      </c>
    </row>
    <row r="101" customFormat="false" ht="15" hidden="false" customHeight="false" outlineLevel="0" collapsed="false">
      <c r="A101" s="8"/>
      <c r="B101" s="9"/>
      <c r="C101" s="9"/>
      <c r="D101" s="9"/>
      <c r="E101" s="9"/>
      <c r="F101" s="9"/>
      <c r="G101" s="9"/>
      <c r="H101" s="9"/>
      <c r="I101" s="10"/>
      <c r="J101" s="9"/>
      <c r="K101" s="10"/>
      <c r="L101" s="11" t="str">
        <f aca="false">IF(OR(B101="",C101=""),"",(C101-B101)/B101)</f>
        <v/>
      </c>
      <c r="M101" s="12" t="str">
        <f aca="false">IF(L101="","",IF(ABS(L101)&lt;MinDrive,"kein Trade",IF(L101&gt;0,"Short","Long")))</f>
        <v/>
      </c>
      <c r="N101" s="12" t="str">
        <f aca="false">IF(OR(M101="",M101="kein Trade"),"",IF(H101="","kein Signal","Trade"))</f>
        <v/>
      </c>
      <c r="O101" s="13" t="str">
        <f aca="false">IF(N101&lt;&gt;"Trade","",IF(M101="Short",D101,E101))</f>
        <v/>
      </c>
      <c r="P101" s="13" t="str">
        <f aca="false">IF(N101&lt;&gt;"Trade","",ABS(H101-O101))</f>
        <v/>
      </c>
      <c r="Q101" s="13" t="str">
        <f aca="false">IF(N101&lt;&gt;"Trade","",H101+IF(M101="Long",1,-1)*ZielR*P101)</f>
        <v/>
      </c>
      <c r="R101" s="13" t="str">
        <f aca="false">IF(OR(N101&lt;&gt;"Trade",I101=""),"",IF(I101="Ziel",Q101,IF(I101="Stop",O101,IF(J101="","",J101))))</f>
        <v/>
      </c>
      <c r="S101" s="13" t="str">
        <f aca="false">IF(R101="","",(R101-H101)*IF(M101="Long",1,-1)-2*Slippage)</f>
        <v/>
      </c>
      <c r="T101" s="14" t="str">
        <f aca="false">IF(OR(S101="",P101=0),"",S101/P101)</f>
        <v/>
      </c>
      <c r="U101" s="15" t="str">
        <f aca="false">IF(S101="","",S101*Punktwert*Kontrakte-Kommission*Kontrakte)</f>
        <v/>
      </c>
      <c r="V101" s="15" t="str">
        <f aca="false">IF(U101="","",SUM($U$5:U101))</f>
        <v/>
      </c>
      <c r="W101" s="15" t="str">
        <f aca="false">IF(V101="","",MAX(0,MAX($V$5:V101)))</f>
        <v/>
      </c>
      <c r="X101" s="15" t="str">
        <f aca="false">IF(V101="","",V101-W101)</f>
        <v/>
      </c>
      <c r="Y101" s="12" t="str">
        <f aca="false">IF(N101&lt;&gt;"Trade","",IF(P101=0,"Stop = Einstieg?",IF(I101="","Ergebnis eintragen",IF(AND(I101="Zeit",J101=""),"Kurs 11:30 fehlt",IF(OR(AND(M101="Short",H101&gt;F101),AND(M101="Long",H101&lt;G101)),"Einstieg prüfen","ok")))))</f>
        <v/>
      </c>
      <c r="Z101" s="16" t="str">
        <f aca="false">IF(A101="","",WEEKDAY(A101,2))</f>
        <v/>
      </c>
    </row>
    <row r="102" customFormat="false" ht="15" hidden="false" customHeight="false" outlineLevel="0" collapsed="false">
      <c r="A102" s="8"/>
      <c r="B102" s="9"/>
      <c r="C102" s="9"/>
      <c r="D102" s="9"/>
      <c r="E102" s="9"/>
      <c r="F102" s="9"/>
      <c r="G102" s="9"/>
      <c r="H102" s="9"/>
      <c r="I102" s="10"/>
      <c r="J102" s="9"/>
      <c r="K102" s="10"/>
      <c r="L102" s="11" t="str">
        <f aca="false">IF(OR(B102="",C102=""),"",(C102-B102)/B102)</f>
        <v/>
      </c>
      <c r="M102" s="12" t="str">
        <f aca="false">IF(L102="","",IF(ABS(L102)&lt;MinDrive,"kein Trade",IF(L102&gt;0,"Short","Long")))</f>
        <v/>
      </c>
      <c r="N102" s="12" t="str">
        <f aca="false">IF(OR(M102="",M102="kein Trade"),"",IF(H102="","kein Signal","Trade"))</f>
        <v/>
      </c>
      <c r="O102" s="13" t="str">
        <f aca="false">IF(N102&lt;&gt;"Trade","",IF(M102="Short",D102,E102))</f>
        <v/>
      </c>
      <c r="P102" s="13" t="str">
        <f aca="false">IF(N102&lt;&gt;"Trade","",ABS(H102-O102))</f>
        <v/>
      </c>
      <c r="Q102" s="13" t="str">
        <f aca="false">IF(N102&lt;&gt;"Trade","",H102+IF(M102="Long",1,-1)*ZielR*P102)</f>
        <v/>
      </c>
      <c r="R102" s="13" t="str">
        <f aca="false">IF(OR(N102&lt;&gt;"Trade",I102=""),"",IF(I102="Ziel",Q102,IF(I102="Stop",O102,IF(J102="","",J102))))</f>
        <v/>
      </c>
      <c r="S102" s="13" t="str">
        <f aca="false">IF(R102="","",(R102-H102)*IF(M102="Long",1,-1)-2*Slippage)</f>
        <v/>
      </c>
      <c r="T102" s="14" t="str">
        <f aca="false">IF(OR(S102="",P102=0),"",S102/P102)</f>
        <v/>
      </c>
      <c r="U102" s="15" t="str">
        <f aca="false">IF(S102="","",S102*Punktwert*Kontrakte-Kommission*Kontrakte)</f>
        <v/>
      </c>
      <c r="V102" s="15" t="str">
        <f aca="false">IF(U102="","",SUM($U$5:U102))</f>
        <v/>
      </c>
      <c r="W102" s="15" t="str">
        <f aca="false">IF(V102="","",MAX(0,MAX($V$5:V102)))</f>
        <v/>
      </c>
      <c r="X102" s="15" t="str">
        <f aca="false">IF(V102="","",V102-W102)</f>
        <v/>
      </c>
      <c r="Y102" s="12" t="str">
        <f aca="false">IF(N102&lt;&gt;"Trade","",IF(P102=0,"Stop = Einstieg?",IF(I102="","Ergebnis eintragen",IF(AND(I102="Zeit",J102=""),"Kurs 11:30 fehlt",IF(OR(AND(M102="Short",H102&gt;F102),AND(M102="Long",H102&lt;G102)),"Einstieg prüfen","ok")))))</f>
        <v/>
      </c>
      <c r="Z102" s="16" t="str">
        <f aca="false">IF(A102="","",WEEKDAY(A102,2))</f>
        <v/>
      </c>
    </row>
    <row r="103" customFormat="false" ht="15" hidden="false" customHeight="false" outlineLevel="0" collapsed="false">
      <c r="A103" s="8"/>
      <c r="B103" s="9"/>
      <c r="C103" s="9"/>
      <c r="D103" s="9"/>
      <c r="E103" s="9"/>
      <c r="F103" s="9"/>
      <c r="G103" s="9"/>
      <c r="H103" s="9"/>
      <c r="I103" s="10"/>
      <c r="J103" s="9"/>
      <c r="K103" s="10"/>
      <c r="L103" s="11" t="str">
        <f aca="false">IF(OR(B103="",C103=""),"",(C103-B103)/B103)</f>
        <v/>
      </c>
      <c r="M103" s="12" t="str">
        <f aca="false">IF(L103="","",IF(ABS(L103)&lt;MinDrive,"kein Trade",IF(L103&gt;0,"Short","Long")))</f>
        <v/>
      </c>
      <c r="N103" s="12" t="str">
        <f aca="false">IF(OR(M103="",M103="kein Trade"),"",IF(H103="","kein Signal","Trade"))</f>
        <v/>
      </c>
      <c r="O103" s="13" t="str">
        <f aca="false">IF(N103&lt;&gt;"Trade","",IF(M103="Short",D103,E103))</f>
        <v/>
      </c>
      <c r="P103" s="13" t="str">
        <f aca="false">IF(N103&lt;&gt;"Trade","",ABS(H103-O103))</f>
        <v/>
      </c>
      <c r="Q103" s="13" t="str">
        <f aca="false">IF(N103&lt;&gt;"Trade","",H103+IF(M103="Long",1,-1)*ZielR*P103)</f>
        <v/>
      </c>
      <c r="R103" s="13" t="str">
        <f aca="false">IF(OR(N103&lt;&gt;"Trade",I103=""),"",IF(I103="Ziel",Q103,IF(I103="Stop",O103,IF(J103="","",J103))))</f>
        <v/>
      </c>
      <c r="S103" s="13" t="str">
        <f aca="false">IF(R103="","",(R103-H103)*IF(M103="Long",1,-1)-2*Slippage)</f>
        <v/>
      </c>
      <c r="T103" s="14" t="str">
        <f aca="false">IF(OR(S103="",P103=0),"",S103/P103)</f>
        <v/>
      </c>
      <c r="U103" s="15" t="str">
        <f aca="false">IF(S103="","",S103*Punktwert*Kontrakte-Kommission*Kontrakte)</f>
        <v/>
      </c>
      <c r="V103" s="15" t="str">
        <f aca="false">IF(U103="","",SUM($U$5:U103))</f>
        <v/>
      </c>
      <c r="W103" s="15" t="str">
        <f aca="false">IF(V103="","",MAX(0,MAX($V$5:V103)))</f>
        <v/>
      </c>
      <c r="X103" s="15" t="str">
        <f aca="false">IF(V103="","",V103-W103)</f>
        <v/>
      </c>
      <c r="Y103" s="12" t="str">
        <f aca="false">IF(N103&lt;&gt;"Trade","",IF(P103=0,"Stop = Einstieg?",IF(I103="","Ergebnis eintragen",IF(AND(I103="Zeit",J103=""),"Kurs 11:30 fehlt",IF(OR(AND(M103="Short",H103&gt;F103),AND(M103="Long",H103&lt;G103)),"Einstieg prüfen","ok")))))</f>
        <v/>
      </c>
      <c r="Z103" s="16" t="str">
        <f aca="false">IF(A103="","",WEEKDAY(A103,2))</f>
        <v/>
      </c>
    </row>
    <row r="104" customFormat="false" ht="15" hidden="false" customHeight="false" outlineLevel="0" collapsed="false">
      <c r="A104" s="8"/>
      <c r="B104" s="9"/>
      <c r="C104" s="9"/>
      <c r="D104" s="9"/>
      <c r="E104" s="9"/>
      <c r="F104" s="9"/>
      <c r="G104" s="9"/>
      <c r="H104" s="9"/>
      <c r="I104" s="10"/>
      <c r="J104" s="9"/>
      <c r="K104" s="10"/>
      <c r="L104" s="11" t="str">
        <f aca="false">IF(OR(B104="",C104=""),"",(C104-B104)/B104)</f>
        <v/>
      </c>
      <c r="M104" s="12" t="str">
        <f aca="false">IF(L104="","",IF(ABS(L104)&lt;MinDrive,"kein Trade",IF(L104&gt;0,"Short","Long")))</f>
        <v/>
      </c>
      <c r="N104" s="12" t="str">
        <f aca="false">IF(OR(M104="",M104="kein Trade"),"",IF(H104="","kein Signal","Trade"))</f>
        <v/>
      </c>
      <c r="O104" s="13" t="str">
        <f aca="false">IF(N104&lt;&gt;"Trade","",IF(M104="Short",D104,E104))</f>
        <v/>
      </c>
      <c r="P104" s="13" t="str">
        <f aca="false">IF(N104&lt;&gt;"Trade","",ABS(H104-O104))</f>
        <v/>
      </c>
      <c r="Q104" s="13" t="str">
        <f aca="false">IF(N104&lt;&gt;"Trade","",H104+IF(M104="Long",1,-1)*ZielR*P104)</f>
        <v/>
      </c>
      <c r="R104" s="13" t="str">
        <f aca="false">IF(OR(N104&lt;&gt;"Trade",I104=""),"",IF(I104="Ziel",Q104,IF(I104="Stop",O104,IF(J104="","",J104))))</f>
        <v/>
      </c>
      <c r="S104" s="13" t="str">
        <f aca="false">IF(R104="","",(R104-H104)*IF(M104="Long",1,-1)-2*Slippage)</f>
        <v/>
      </c>
      <c r="T104" s="14" t="str">
        <f aca="false">IF(OR(S104="",P104=0),"",S104/P104)</f>
        <v/>
      </c>
      <c r="U104" s="15" t="str">
        <f aca="false">IF(S104="","",S104*Punktwert*Kontrakte-Kommission*Kontrakte)</f>
        <v/>
      </c>
      <c r="V104" s="15" t="str">
        <f aca="false">IF(U104="","",SUM($U$5:U104))</f>
        <v/>
      </c>
      <c r="W104" s="15" t="str">
        <f aca="false">IF(V104="","",MAX(0,MAX($V$5:V104)))</f>
        <v/>
      </c>
      <c r="X104" s="15" t="str">
        <f aca="false">IF(V104="","",V104-W104)</f>
        <v/>
      </c>
      <c r="Y104" s="12" t="str">
        <f aca="false">IF(N104&lt;&gt;"Trade","",IF(P104=0,"Stop = Einstieg?",IF(I104="","Ergebnis eintragen",IF(AND(I104="Zeit",J104=""),"Kurs 11:30 fehlt",IF(OR(AND(M104="Short",H104&gt;F104),AND(M104="Long",H104&lt;G104)),"Einstieg prüfen","ok")))))</f>
        <v/>
      </c>
      <c r="Z104" s="16" t="str">
        <f aca="false">IF(A104="","",WEEKDAY(A104,2))</f>
        <v/>
      </c>
    </row>
    <row r="105" customFormat="false" ht="15" hidden="false" customHeight="false" outlineLevel="0" collapsed="false">
      <c r="A105" s="8"/>
      <c r="B105" s="9"/>
      <c r="C105" s="9"/>
      <c r="D105" s="9"/>
      <c r="E105" s="9"/>
      <c r="F105" s="9"/>
      <c r="G105" s="9"/>
      <c r="H105" s="9"/>
      <c r="I105" s="10"/>
      <c r="J105" s="9"/>
      <c r="K105" s="10"/>
      <c r="L105" s="11" t="str">
        <f aca="false">IF(OR(B105="",C105=""),"",(C105-B105)/B105)</f>
        <v/>
      </c>
      <c r="M105" s="12" t="str">
        <f aca="false">IF(L105="","",IF(ABS(L105)&lt;MinDrive,"kein Trade",IF(L105&gt;0,"Short","Long")))</f>
        <v/>
      </c>
      <c r="N105" s="12" t="str">
        <f aca="false">IF(OR(M105="",M105="kein Trade"),"",IF(H105="","kein Signal","Trade"))</f>
        <v/>
      </c>
      <c r="O105" s="13" t="str">
        <f aca="false">IF(N105&lt;&gt;"Trade","",IF(M105="Short",D105,E105))</f>
        <v/>
      </c>
      <c r="P105" s="13" t="str">
        <f aca="false">IF(N105&lt;&gt;"Trade","",ABS(H105-O105))</f>
        <v/>
      </c>
      <c r="Q105" s="13" t="str">
        <f aca="false">IF(N105&lt;&gt;"Trade","",H105+IF(M105="Long",1,-1)*ZielR*P105)</f>
        <v/>
      </c>
      <c r="R105" s="13" t="str">
        <f aca="false">IF(OR(N105&lt;&gt;"Trade",I105=""),"",IF(I105="Ziel",Q105,IF(I105="Stop",O105,IF(J105="","",J105))))</f>
        <v/>
      </c>
      <c r="S105" s="13" t="str">
        <f aca="false">IF(R105="","",(R105-H105)*IF(M105="Long",1,-1)-2*Slippage)</f>
        <v/>
      </c>
      <c r="T105" s="14" t="str">
        <f aca="false">IF(OR(S105="",P105=0),"",S105/P105)</f>
        <v/>
      </c>
      <c r="U105" s="15" t="str">
        <f aca="false">IF(S105="","",S105*Punktwert*Kontrakte-Kommission*Kontrakte)</f>
        <v/>
      </c>
      <c r="V105" s="15" t="str">
        <f aca="false">IF(U105="","",SUM($U$5:U105))</f>
        <v/>
      </c>
      <c r="W105" s="15" t="str">
        <f aca="false">IF(V105="","",MAX(0,MAX($V$5:V105)))</f>
        <v/>
      </c>
      <c r="X105" s="15" t="str">
        <f aca="false">IF(V105="","",V105-W105)</f>
        <v/>
      </c>
      <c r="Y105" s="12" t="str">
        <f aca="false">IF(N105&lt;&gt;"Trade","",IF(P105=0,"Stop = Einstieg?",IF(I105="","Ergebnis eintragen",IF(AND(I105="Zeit",J105=""),"Kurs 11:30 fehlt",IF(OR(AND(M105="Short",H105&gt;F105),AND(M105="Long",H105&lt;G105)),"Einstieg prüfen","ok")))))</f>
        <v/>
      </c>
      <c r="Z105" s="16" t="str">
        <f aca="false">IF(A105="","",WEEKDAY(A105,2))</f>
        <v/>
      </c>
    </row>
    <row r="106" customFormat="false" ht="15" hidden="false" customHeight="false" outlineLevel="0" collapsed="false">
      <c r="A106" s="8"/>
      <c r="B106" s="9"/>
      <c r="C106" s="9"/>
      <c r="D106" s="9"/>
      <c r="E106" s="9"/>
      <c r="F106" s="9"/>
      <c r="G106" s="9"/>
      <c r="H106" s="9"/>
      <c r="I106" s="10"/>
      <c r="J106" s="9"/>
      <c r="K106" s="10"/>
      <c r="L106" s="11" t="str">
        <f aca="false">IF(OR(B106="",C106=""),"",(C106-B106)/B106)</f>
        <v/>
      </c>
      <c r="M106" s="12" t="str">
        <f aca="false">IF(L106="","",IF(ABS(L106)&lt;MinDrive,"kein Trade",IF(L106&gt;0,"Short","Long")))</f>
        <v/>
      </c>
      <c r="N106" s="12" t="str">
        <f aca="false">IF(OR(M106="",M106="kein Trade"),"",IF(H106="","kein Signal","Trade"))</f>
        <v/>
      </c>
      <c r="O106" s="13" t="str">
        <f aca="false">IF(N106&lt;&gt;"Trade","",IF(M106="Short",D106,E106))</f>
        <v/>
      </c>
      <c r="P106" s="13" t="str">
        <f aca="false">IF(N106&lt;&gt;"Trade","",ABS(H106-O106))</f>
        <v/>
      </c>
      <c r="Q106" s="13" t="str">
        <f aca="false">IF(N106&lt;&gt;"Trade","",H106+IF(M106="Long",1,-1)*ZielR*P106)</f>
        <v/>
      </c>
      <c r="R106" s="13" t="str">
        <f aca="false">IF(OR(N106&lt;&gt;"Trade",I106=""),"",IF(I106="Ziel",Q106,IF(I106="Stop",O106,IF(J106="","",J106))))</f>
        <v/>
      </c>
      <c r="S106" s="13" t="str">
        <f aca="false">IF(R106="","",(R106-H106)*IF(M106="Long",1,-1)-2*Slippage)</f>
        <v/>
      </c>
      <c r="T106" s="14" t="str">
        <f aca="false">IF(OR(S106="",P106=0),"",S106/P106)</f>
        <v/>
      </c>
      <c r="U106" s="15" t="str">
        <f aca="false">IF(S106="","",S106*Punktwert*Kontrakte-Kommission*Kontrakte)</f>
        <v/>
      </c>
      <c r="V106" s="15" t="str">
        <f aca="false">IF(U106="","",SUM($U$5:U106))</f>
        <v/>
      </c>
      <c r="W106" s="15" t="str">
        <f aca="false">IF(V106="","",MAX(0,MAX($V$5:V106)))</f>
        <v/>
      </c>
      <c r="X106" s="15" t="str">
        <f aca="false">IF(V106="","",V106-W106)</f>
        <v/>
      </c>
      <c r="Y106" s="12" t="str">
        <f aca="false">IF(N106&lt;&gt;"Trade","",IF(P106=0,"Stop = Einstieg?",IF(I106="","Ergebnis eintragen",IF(AND(I106="Zeit",J106=""),"Kurs 11:30 fehlt",IF(OR(AND(M106="Short",H106&gt;F106),AND(M106="Long",H106&lt;G106)),"Einstieg prüfen","ok")))))</f>
        <v/>
      </c>
      <c r="Z106" s="16" t="str">
        <f aca="false">IF(A106="","",WEEKDAY(A106,2))</f>
        <v/>
      </c>
    </row>
    <row r="107" customFormat="false" ht="15" hidden="false" customHeight="false" outlineLevel="0" collapsed="false">
      <c r="A107" s="8"/>
      <c r="B107" s="9"/>
      <c r="C107" s="9"/>
      <c r="D107" s="9"/>
      <c r="E107" s="9"/>
      <c r="F107" s="9"/>
      <c r="G107" s="9"/>
      <c r="H107" s="9"/>
      <c r="I107" s="10"/>
      <c r="J107" s="9"/>
      <c r="K107" s="10"/>
      <c r="L107" s="11" t="str">
        <f aca="false">IF(OR(B107="",C107=""),"",(C107-B107)/B107)</f>
        <v/>
      </c>
      <c r="M107" s="12" t="str">
        <f aca="false">IF(L107="","",IF(ABS(L107)&lt;MinDrive,"kein Trade",IF(L107&gt;0,"Short","Long")))</f>
        <v/>
      </c>
      <c r="N107" s="12" t="str">
        <f aca="false">IF(OR(M107="",M107="kein Trade"),"",IF(H107="","kein Signal","Trade"))</f>
        <v/>
      </c>
      <c r="O107" s="13" t="str">
        <f aca="false">IF(N107&lt;&gt;"Trade","",IF(M107="Short",D107,E107))</f>
        <v/>
      </c>
      <c r="P107" s="13" t="str">
        <f aca="false">IF(N107&lt;&gt;"Trade","",ABS(H107-O107))</f>
        <v/>
      </c>
      <c r="Q107" s="13" t="str">
        <f aca="false">IF(N107&lt;&gt;"Trade","",H107+IF(M107="Long",1,-1)*ZielR*P107)</f>
        <v/>
      </c>
      <c r="R107" s="13" t="str">
        <f aca="false">IF(OR(N107&lt;&gt;"Trade",I107=""),"",IF(I107="Ziel",Q107,IF(I107="Stop",O107,IF(J107="","",J107))))</f>
        <v/>
      </c>
      <c r="S107" s="13" t="str">
        <f aca="false">IF(R107="","",(R107-H107)*IF(M107="Long",1,-1)-2*Slippage)</f>
        <v/>
      </c>
      <c r="T107" s="14" t="str">
        <f aca="false">IF(OR(S107="",P107=0),"",S107/P107)</f>
        <v/>
      </c>
      <c r="U107" s="15" t="str">
        <f aca="false">IF(S107="","",S107*Punktwert*Kontrakte-Kommission*Kontrakte)</f>
        <v/>
      </c>
      <c r="V107" s="15" t="str">
        <f aca="false">IF(U107="","",SUM($U$5:U107))</f>
        <v/>
      </c>
      <c r="W107" s="15" t="str">
        <f aca="false">IF(V107="","",MAX(0,MAX($V$5:V107)))</f>
        <v/>
      </c>
      <c r="X107" s="15" t="str">
        <f aca="false">IF(V107="","",V107-W107)</f>
        <v/>
      </c>
      <c r="Y107" s="12" t="str">
        <f aca="false">IF(N107&lt;&gt;"Trade","",IF(P107=0,"Stop = Einstieg?",IF(I107="","Ergebnis eintragen",IF(AND(I107="Zeit",J107=""),"Kurs 11:30 fehlt",IF(OR(AND(M107="Short",H107&gt;F107),AND(M107="Long",H107&lt;G107)),"Einstieg prüfen","ok")))))</f>
        <v/>
      </c>
      <c r="Z107" s="16" t="str">
        <f aca="false">IF(A107="","",WEEKDAY(A107,2))</f>
        <v/>
      </c>
    </row>
    <row r="108" customFormat="false" ht="15" hidden="false" customHeight="false" outlineLevel="0" collapsed="false">
      <c r="A108" s="8"/>
      <c r="B108" s="9"/>
      <c r="C108" s="9"/>
      <c r="D108" s="9"/>
      <c r="E108" s="9"/>
      <c r="F108" s="9"/>
      <c r="G108" s="9"/>
      <c r="H108" s="9"/>
      <c r="I108" s="10"/>
      <c r="J108" s="9"/>
      <c r="K108" s="10"/>
      <c r="L108" s="11" t="str">
        <f aca="false">IF(OR(B108="",C108=""),"",(C108-B108)/B108)</f>
        <v/>
      </c>
      <c r="M108" s="12" t="str">
        <f aca="false">IF(L108="","",IF(ABS(L108)&lt;MinDrive,"kein Trade",IF(L108&gt;0,"Short","Long")))</f>
        <v/>
      </c>
      <c r="N108" s="12" t="str">
        <f aca="false">IF(OR(M108="",M108="kein Trade"),"",IF(H108="","kein Signal","Trade"))</f>
        <v/>
      </c>
      <c r="O108" s="13" t="str">
        <f aca="false">IF(N108&lt;&gt;"Trade","",IF(M108="Short",D108,E108))</f>
        <v/>
      </c>
      <c r="P108" s="13" t="str">
        <f aca="false">IF(N108&lt;&gt;"Trade","",ABS(H108-O108))</f>
        <v/>
      </c>
      <c r="Q108" s="13" t="str">
        <f aca="false">IF(N108&lt;&gt;"Trade","",H108+IF(M108="Long",1,-1)*ZielR*P108)</f>
        <v/>
      </c>
      <c r="R108" s="13" t="str">
        <f aca="false">IF(OR(N108&lt;&gt;"Trade",I108=""),"",IF(I108="Ziel",Q108,IF(I108="Stop",O108,IF(J108="","",J108))))</f>
        <v/>
      </c>
      <c r="S108" s="13" t="str">
        <f aca="false">IF(R108="","",(R108-H108)*IF(M108="Long",1,-1)-2*Slippage)</f>
        <v/>
      </c>
      <c r="T108" s="14" t="str">
        <f aca="false">IF(OR(S108="",P108=0),"",S108/P108)</f>
        <v/>
      </c>
      <c r="U108" s="15" t="str">
        <f aca="false">IF(S108="","",S108*Punktwert*Kontrakte-Kommission*Kontrakte)</f>
        <v/>
      </c>
      <c r="V108" s="15" t="str">
        <f aca="false">IF(U108="","",SUM($U$5:U108))</f>
        <v/>
      </c>
      <c r="W108" s="15" t="str">
        <f aca="false">IF(V108="","",MAX(0,MAX($V$5:V108)))</f>
        <v/>
      </c>
      <c r="X108" s="15" t="str">
        <f aca="false">IF(V108="","",V108-W108)</f>
        <v/>
      </c>
      <c r="Y108" s="12" t="str">
        <f aca="false">IF(N108&lt;&gt;"Trade","",IF(P108=0,"Stop = Einstieg?",IF(I108="","Ergebnis eintragen",IF(AND(I108="Zeit",J108=""),"Kurs 11:30 fehlt",IF(OR(AND(M108="Short",H108&gt;F108),AND(M108="Long",H108&lt;G108)),"Einstieg prüfen","ok")))))</f>
        <v/>
      </c>
      <c r="Z108" s="16" t="str">
        <f aca="false">IF(A108="","",WEEKDAY(A108,2))</f>
        <v/>
      </c>
    </row>
    <row r="109" customFormat="false" ht="15" hidden="false" customHeight="false" outlineLevel="0" collapsed="false">
      <c r="A109" s="8"/>
      <c r="B109" s="9"/>
      <c r="C109" s="9"/>
      <c r="D109" s="9"/>
      <c r="E109" s="9"/>
      <c r="F109" s="9"/>
      <c r="G109" s="9"/>
      <c r="H109" s="9"/>
      <c r="I109" s="10"/>
      <c r="J109" s="9"/>
      <c r="K109" s="10"/>
      <c r="L109" s="11" t="str">
        <f aca="false">IF(OR(B109="",C109=""),"",(C109-B109)/B109)</f>
        <v/>
      </c>
      <c r="M109" s="12" t="str">
        <f aca="false">IF(L109="","",IF(ABS(L109)&lt;MinDrive,"kein Trade",IF(L109&gt;0,"Short","Long")))</f>
        <v/>
      </c>
      <c r="N109" s="12" t="str">
        <f aca="false">IF(OR(M109="",M109="kein Trade"),"",IF(H109="","kein Signal","Trade"))</f>
        <v/>
      </c>
      <c r="O109" s="13" t="str">
        <f aca="false">IF(N109&lt;&gt;"Trade","",IF(M109="Short",D109,E109))</f>
        <v/>
      </c>
      <c r="P109" s="13" t="str">
        <f aca="false">IF(N109&lt;&gt;"Trade","",ABS(H109-O109))</f>
        <v/>
      </c>
      <c r="Q109" s="13" t="str">
        <f aca="false">IF(N109&lt;&gt;"Trade","",H109+IF(M109="Long",1,-1)*ZielR*P109)</f>
        <v/>
      </c>
      <c r="R109" s="13" t="str">
        <f aca="false">IF(OR(N109&lt;&gt;"Trade",I109=""),"",IF(I109="Ziel",Q109,IF(I109="Stop",O109,IF(J109="","",J109))))</f>
        <v/>
      </c>
      <c r="S109" s="13" t="str">
        <f aca="false">IF(R109="","",(R109-H109)*IF(M109="Long",1,-1)-2*Slippage)</f>
        <v/>
      </c>
      <c r="T109" s="14" t="str">
        <f aca="false">IF(OR(S109="",P109=0),"",S109/P109)</f>
        <v/>
      </c>
      <c r="U109" s="15" t="str">
        <f aca="false">IF(S109="","",S109*Punktwert*Kontrakte-Kommission*Kontrakte)</f>
        <v/>
      </c>
      <c r="V109" s="15" t="str">
        <f aca="false">IF(U109="","",SUM($U$5:U109))</f>
        <v/>
      </c>
      <c r="W109" s="15" t="str">
        <f aca="false">IF(V109="","",MAX(0,MAX($V$5:V109)))</f>
        <v/>
      </c>
      <c r="X109" s="15" t="str">
        <f aca="false">IF(V109="","",V109-W109)</f>
        <v/>
      </c>
      <c r="Y109" s="12" t="str">
        <f aca="false">IF(N109&lt;&gt;"Trade","",IF(P109=0,"Stop = Einstieg?",IF(I109="","Ergebnis eintragen",IF(AND(I109="Zeit",J109=""),"Kurs 11:30 fehlt",IF(OR(AND(M109="Short",H109&gt;F109),AND(M109="Long",H109&lt;G109)),"Einstieg prüfen","ok")))))</f>
        <v/>
      </c>
      <c r="Z109" s="16" t="str">
        <f aca="false">IF(A109="","",WEEKDAY(A109,2))</f>
        <v/>
      </c>
    </row>
    <row r="110" customFormat="false" ht="15" hidden="false" customHeight="false" outlineLevel="0" collapsed="false">
      <c r="A110" s="8"/>
      <c r="B110" s="9"/>
      <c r="C110" s="9"/>
      <c r="D110" s="9"/>
      <c r="E110" s="9"/>
      <c r="F110" s="9"/>
      <c r="G110" s="9"/>
      <c r="H110" s="9"/>
      <c r="I110" s="10"/>
      <c r="J110" s="9"/>
      <c r="K110" s="10"/>
      <c r="L110" s="11" t="str">
        <f aca="false">IF(OR(B110="",C110=""),"",(C110-B110)/B110)</f>
        <v/>
      </c>
      <c r="M110" s="12" t="str">
        <f aca="false">IF(L110="","",IF(ABS(L110)&lt;MinDrive,"kein Trade",IF(L110&gt;0,"Short","Long")))</f>
        <v/>
      </c>
      <c r="N110" s="12" t="str">
        <f aca="false">IF(OR(M110="",M110="kein Trade"),"",IF(H110="","kein Signal","Trade"))</f>
        <v/>
      </c>
      <c r="O110" s="13" t="str">
        <f aca="false">IF(N110&lt;&gt;"Trade","",IF(M110="Short",D110,E110))</f>
        <v/>
      </c>
      <c r="P110" s="13" t="str">
        <f aca="false">IF(N110&lt;&gt;"Trade","",ABS(H110-O110))</f>
        <v/>
      </c>
      <c r="Q110" s="13" t="str">
        <f aca="false">IF(N110&lt;&gt;"Trade","",H110+IF(M110="Long",1,-1)*ZielR*P110)</f>
        <v/>
      </c>
      <c r="R110" s="13" t="str">
        <f aca="false">IF(OR(N110&lt;&gt;"Trade",I110=""),"",IF(I110="Ziel",Q110,IF(I110="Stop",O110,IF(J110="","",J110))))</f>
        <v/>
      </c>
      <c r="S110" s="13" t="str">
        <f aca="false">IF(R110="","",(R110-H110)*IF(M110="Long",1,-1)-2*Slippage)</f>
        <v/>
      </c>
      <c r="T110" s="14" t="str">
        <f aca="false">IF(OR(S110="",P110=0),"",S110/P110)</f>
        <v/>
      </c>
      <c r="U110" s="15" t="str">
        <f aca="false">IF(S110="","",S110*Punktwert*Kontrakte-Kommission*Kontrakte)</f>
        <v/>
      </c>
      <c r="V110" s="15" t="str">
        <f aca="false">IF(U110="","",SUM($U$5:U110))</f>
        <v/>
      </c>
      <c r="W110" s="15" t="str">
        <f aca="false">IF(V110="","",MAX(0,MAX($V$5:V110)))</f>
        <v/>
      </c>
      <c r="X110" s="15" t="str">
        <f aca="false">IF(V110="","",V110-W110)</f>
        <v/>
      </c>
      <c r="Y110" s="12" t="str">
        <f aca="false">IF(N110&lt;&gt;"Trade","",IF(P110=0,"Stop = Einstieg?",IF(I110="","Ergebnis eintragen",IF(AND(I110="Zeit",J110=""),"Kurs 11:30 fehlt",IF(OR(AND(M110="Short",H110&gt;F110),AND(M110="Long",H110&lt;G110)),"Einstieg prüfen","ok")))))</f>
        <v/>
      </c>
      <c r="Z110" s="16" t="str">
        <f aca="false">IF(A110="","",WEEKDAY(A110,2))</f>
        <v/>
      </c>
    </row>
    <row r="111" customFormat="false" ht="15" hidden="false" customHeight="false" outlineLevel="0" collapsed="false">
      <c r="A111" s="8"/>
      <c r="B111" s="9"/>
      <c r="C111" s="9"/>
      <c r="D111" s="9"/>
      <c r="E111" s="9"/>
      <c r="F111" s="9"/>
      <c r="G111" s="9"/>
      <c r="H111" s="9"/>
      <c r="I111" s="10"/>
      <c r="J111" s="9"/>
      <c r="K111" s="10"/>
      <c r="L111" s="11" t="str">
        <f aca="false">IF(OR(B111="",C111=""),"",(C111-B111)/B111)</f>
        <v/>
      </c>
      <c r="M111" s="12" t="str">
        <f aca="false">IF(L111="","",IF(ABS(L111)&lt;MinDrive,"kein Trade",IF(L111&gt;0,"Short","Long")))</f>
        <v/>
      </c>
      <c r="N111" s="12" t="str">
        <f aca="false">IF(OR(M111="",M111="kein Trade"),"",IF(H111="","kein Signal","Trade"))</f>
        <v/>
      </c>
      <c r="O111" s="13" t="str">
        <f aca="false">IF(N111&lt;&gt;"Trade","",IF(M111="Short",D111,E111))</f>
        <v/>
      </c>
      <c r="P111" s="13" t="str">
        <f aca="false">IF(N111&lt;&gt;"Trade","",ABS(H111-O111))</f>
        <v/>
      </c>
      <c r="Q111" s="13" t="str">
        <f aca="false">IF(N111&lt;&gt;"Trade","",H111+IF(M111="Long",1,-1)*ZielR*P111)</f>
        <v/>
      </c>
      <c r="R111" s="13" t="str">
        <f aca="false">IF(OR(N111&lt;&gt;"Trade",I111=""),"",IF(I111="Ziel",Q111,IF(I111="Stop",O111,IF(J111="","",J111))))</f>
        <v/>
      </c>
      <c r="S111" s="13" t="str">
        <f aca="false">IF(R111="","",(R111-H111)*IF(M111="Long",1,-1)-2*Slippage)</f>
        <v/>
      </c>
      <c r="T111" s="14" t="str">
        <f aca="false">IF(OR(S111="",P111=0),"",S111/P111)</f>
        <v/>
      </c>
      <c r="U111" s="15" t="str">
        <f aca="false">IF(S111="","",S111*Punktwert*Kontrakte-Kommission*Kontrakte)</f>
        <v/>
      </c>
      <c r="V111" s="15" t="str">
        <f aca="false">IF(U111="","",SUM($U$5:U111))</f>
        <v/>
      </c>
      <c r="W111" s="15" t="str">
        <f aca="false">IF(V111="","",MAX(0,MAX($V$5:V111)))</f>
        <v/>
      </c>
      <c r="X111" s="15" t="str">
        <f aca="false">IF(V111="","",V111-W111)</f>
        <v/>
      </c>
      <c r="Y111" s="12" t="str">
        <f aca="false">IF(N111&lt;&gt;"Trade","",IF(P111=0,"Stop = Einstieg?",IF(I111="","Ergebnis eintragen",IF(AND(I111="Zeit",J111=""),"Kurs 11:30 fehlt",IF(OR(AND(M111="Short",H111&gt;F111),AND(M111="Long",H111&lt;G111)),"Einstieg prüfen","ok")))))</f>
        <v/>
      </c>
      <c r="Z111" s="16" t="str">
        <f aca="false">IF(A111="","",WEEKDAY(A111,2))</f>
        <v/>
      </c>
    </row>
    <row r="112" customFormat="false" ht="15" hidden="false" customHeight="false" outlineLevel="0" collapsed="false">
      <c r="A112" s="8"/>
      <c r="B112" s="9"/>
      <c r="C112" s="9"/>
      <c r="D112" s="9"/>
      <c r="E112" s="9"/>
      <c r="F112" s="9"/>
      <c r="G112" s="9"/>
      <c r="H112" s="9"/>
      <c r="I112" s="10"/>
      <c r="J112" s="9"/>
      <c r="K112" s="10"/>
      <c r="L112" s="11" t="str">
        <f aca="false">IF(OR(B112="",C112=""),"",(C112-B112)/B112)</f>
        <v/>
      </c>
      <c r="M112" s="12" t="str">
        <f aca="false">IF(L112="","",IF(ABS(L112)&lt;MinDrive,"kein Trade",IF(L112&gt;0,"Short","Long")))</f>
        <v/>
      </c>
      <c r="N112" s="12" t="str">
        <f aca="false">IF(OR(M112="",M112="kein Trade"),"",IF(H112="","kein Signal","Trade"))</f>
        <v/>
      </c>
      <c r="O112" s="13" t="str">
        <f aca="false">IF(N112&lt;&gt;"Trade","",IF(M112="Short",D112,E112))</f>
        <v/>
      </c>
      <c r="P112" s="13" t="str">
        <f aca="false">IF(N112&lt;&gt;"Trade","",ABS(H112-O112))</f>
        <v/>
      </c>
      <c r="Q112" s="13" t="str">
        <f aca="false">IF(N112&lt;&gt;"Trade","",H112+IF(M112="Long",1,-1)*ZielR*P112)</f>
        <v/>
      </c>
      <c r="R112" s="13" t="str">
        <f aca="false">IF(OR(N112&lt;&gt;"Trade",I112=""),"",IF(I112="Ziel",Q112,IF(I112="Stop",O112,IF(J112="","",J112))))</f>
        <v/>
      </c>
      <c r="S112" s="13" t="str">
        <f aca="false">IF(R112="","",(R112-H112)*IF(M112="Long",1,-1)-2*Slippage)</f>
        <v/>
      </c>
      <c r="T112" s="14" t="str">
        <f aca="false">IF(OR(S112="",P112=0),"",S112/P112)</f>
        <v/>
      </c>
      <c r="U112" s="15" t="str">
        <f aca="false">IF(S112="","",S112*Punktwert*Kontrakte-Kommission*Kontrakte)</f>
        <v/>
      </c>
      <c r="V112" s="15" t="str">
        <f aca="false">IF(U112="","",SUM($U$5:U112))</f>
        <v/>
      </c>
      <c r="W112" s="15" t="str">
        <f aca="false">IF(V112="","",MAX(0,MAX($V$5:V112)))</f>
        <v/>
      </c>
      <c r="X112" s="15" t="str">
        <f aca="false">IF(V112="","",V112-W112)</f>
        <v/>
      </c>
      <c r="Y112" s="12" t="str">
        <f aca="false">IF(N112&lt;&gt;"Trade","",IF(P112=0,"Stop = Einstieg?",IF(I112="","Ergebnis eintragen",IF(AND(I112="Zeit",J112=""),"Kurs 11:30 fehlt",IF(OR(AND(M112="Short",H112&gt;F112),AND(M112="Long",H112&lt;G112)),"Einstieg prüfen","ok")))))</f>
        <v/>
      </c>
      <c r="Z112" s="16" t="str">
        <f aca="false">IF(A112="","",WEEKDAY(A112,2))</f>
        <v/>
      </c>
    </row>
    <row r="113" customFormat="false" ht="15" hidden="false" customHeight="false" outlineLevel="0" collapsed="false">
      <c r="A113" s="8"/>
      <c r="B113" s="9"/>
      <c r="C113" s="9"/>
      <c r="D113" s="9"/>
      <c r="E113" s="9"/>
      <c r="F113" s="9"/>
      <c r="G113" s="9"/>
      <c r="H113" s="9"/>
      <c r="I113" s="10"/>
      <c r="J113" s="9"/>
      <c r="K113" s="10"/>
      <c r="L113" s="11" t="str">
        <f aca="false">IF(OR(B113="",C113=""),"",(C113-B113)/B113)</f>
        <v/>
      </c>
      <c r="M113" s="12" t="str">
        <f aca="false">IF(L113="","",IF(ABS(L113)&lt;MinDrive,"kein Trade",IF(L113&gt;0,"Short","Long")))</f>
        <v/>
      </c>
      <c r="N113" s="12" t="str">
        <f aca="false">IF(OR(M113="",M113="kein Trade"),"",IF(H113="","kein Signal","Trade"))</f>
        <v/>
      </c>
      <c r="O113" s="13" t="str">
        <f aca="false">IF(N113&lt;&gt;"Trade","",IF(M113="Short",D113,E113))</f>
        <v/>
      </c>
      <c r="P113" s="13" t="str">
        <f aca="false">IF(N113&lt;&gt;"Trade","",ABS(H113-O113))</f>
        <v/>
      </c>
      <c r="Q113" s="13" t="str">
        <f aca="false">IF(N113&lt;&gt;"Trade","",H113+IF(M113="Long",1,-1)*ZielR*P113)</f>
        <v/>
      </c>
      <c r="R113" s="13" t="str">
        <f aca="false">IF(OR(N113&lt;&gt;"Trade",I113=""),"",IF(I113="Ziel",Q113,IF(I113="Stop",O113,IF(J113="","",J113))))</f>
        <v/>
      </c>
      <c r="S113" s="13" t="str">
        <f aca="false">IF(R113="","",(R113-H113)*IF(M113="Long",1,-1)-2*Slippage)</f>
        <v/>
      </c>
      <c r="T113" s="14" t="str">
        <f aca="false">IF(OR(S113="",P113=0),"",S113/P113)</f>
        <v/>
      </c>
      <c r="U113" s="15" t="str">
        <f aca="false">IF(S113="","",S113*Punktwert*Kontrakte-Kommission*Kontrakte)</f>
        <v/>
      </c>
      <c r="V113" s="15" t="str">
        <f aca="false">IF(U113="","",SUM($U$5:U113))</f>
        <v/>
      </c>
      <c r="W113" s="15" t="str">
        <f aca="false">IF(V113="","",MAX(0,MAX($V$5:V113)))</f>
        <v/>
      </c>
      <c r="X113" s="15" t="str">
        <f aca="false">IF(V113="","",V113-W113)</f>
        <v/>
      </c>
      <c r="Y113" s="12" t="str">
        <f aca="false">IF(N113&lt;&gt;"Trade","",IF(P113=0,"Stop = Einstieg?",IF(I113="","Ergebnis eintragen",IF(AND(I113="Zeit",J113=""),"Kurs 11:30 fehlt",IF(OR(AND(M113="Short",H113&gt;F113),AND(M113="Long",H113&lt;G113)),"Einstieg prüfen","ok")))))</f>
        <v/>
      </c>
      <c r="Z113" s="16" t="str">
        <f aca="false">IF(A113="","",WEEKDAY(A113,2))</f>
        <v/>
      </c>
    </row>
    <row r="114" customFormat="false" ht="15" hidden="false" customHeight="false" outlineLevel="0" collapsed="false">
      <c r="A114" s="8"/>
      <c r="B114" s="9"/>
      <c r="C114" s="9"/>
      <c r="D114" s="9"/>
      <c r="E114" s="9"/>
      <c r="F114" s="9"/>
      <c r="G114" s="9"/>
      <c r="H114" s="9"/>
      <c r="I114" s="10"/>
      <c r="J114" s="9"/>
      <c r="K114" s="10"/>
      <c r="L114" s="11" t="str">
        <f aca="false">IF(OR(B114="",C114=""),"",(C114-B114)/B114)</f>
        <v/>
      </c>
      <c r="M114" s="12" t="str">
        <f aca="false">IF(L114="","",IF(ABS(L114)&lt;MinDrive,"kein Trade",IF(L114&gt;0,"Short","Long")))</f>
        <v/>
      </c>
      <c r="N114" s="12" t="str">
        <f aca="false">IF(OR(M114="",M114="kein Trade"),"",IF(H114="","kein Signal","Trade"))</f>
        <v/>
      </c>
      <c r="O114" s="13" t="str">
        <f aca="false">IF(N114&lt;&gt;"Trade","",IF(M114="Short",D114,E114))</f>
        <v/>
      </c>
      <c r="P114" s="13" t="str">
        <f aca="false">IF(N114&lt;&gt;"Trade","",ABS(H114-O114))</f>
        <v/>
      </c>
      <c r="Q114" s="13" t="str">
        <f aca="false">IF(N114&lt;&gt;"Trade","",H114+IF(M114="Long",1,-1)*ZielR*P114)</f>
        <v/>
      </c>
      <c r="R114" s="13" t="str">
        <f aca="false">IF(OR(N114&lt;&gt;"Trade",I114=""),"",IF(I114="Ziel",Q114,IF(I114="Stop",O114,IF(J114="","",J114))))</f>
        <v/>
      </c>
      <c r="S114" s="13" t="str">
        <f aca="false">IF(R114="","",(R114-H114)*IF(M114="Long",1,-1)-2*Slippage)</f>
        <v/>
      </c>
      <c r="T114" s="14" t="str">
        <f aca="false">IF(OR(S114="",P114=0),"",S114/P114)</f>
        <v/>
      </c>
      <c r="U114" s="15" t="str">
        <f aca="false">IF(S114="","",S114*Punktwert*Kontrakte-Kommission*Kontrakte)</f>
        <v/>
      </c>
      <c r="V114" s="15" t="str">
        <f aca="false">IF(U114="","",SUM($U$5:U114))</f>
        <v/>
      </c>
      <c r="W114" s="15" t="str">
        <f aca="false">IF(V114="","",MAX(0,MAX($V$5:V114)))</f>
        <v/>
      </c>
      <c r="X114" s="15" t="str">
        <f aca="false">IF(V114="","",V114-W114)</f>
        <v/>
      </c>
      <c r="Y114" s="12" t="str">
        <f aca="false">IF(N114&lt;&gt;"Trade","",IF(P114=0,"Stop = Einstieg?",IF(I114="","Ergebnis eintragen",IF(AND(I114="Zeit",J114=""),"Kurs 11:30 fehlt",IF(OR(AND(M114="Short",H114&gt;F114),AND(M114="Long",H114&lt;G114)),"Einstieg prüfen","ok")))))</f>
        <v/>
      </c>
      <c r="Z114" s="16" t="str">
        <f aca="false">IF(A114="","",WEEKDAY(A114,2))</f>
        <v/>
      </c>
    </row>
    <row r="115" customFormat="false" ht="15" hidden="false" customHeight="false" outlineLevel="0" collapsed="false">
      <c r="A115" s="8"/>
      <c r="B115" s="9"/>
      <c r="C115" s="9"/>
      <c r="D115" s="9"/>
      <c r="E115" s="9"/>
      <c r="F115" s="9"/>
      <c r="G115" s="9"/>
      <c r="H115" s="9"/>
      <c r="I115" s="10"/>
      <c r="J115" s="9"/>
      <c r="K115" s="10"/>
      <c r="L115" s="11" t="str">
        <f aca="false">IF(OR(B115="",C115=""),"",(C115-B115)/B115)</f>
        <v/>
      </c>
      <c r="M115" s="12" t="str">
        <f aca="false">IF(L115="","",IF(ABS(L115)&lt;MinDrive,"kein Trade",IF(L115&gt;0,"Short","Long")))</f>
        <v/>
      </c>
      <c r="N115" s="12" t="str">
        <f aca="false">IF(OR(M115="",M115="kein Trade"),"",IF(H115="","kein Signal","Trade"))</f>
        <v/>
      </c>
      <c r="O115" s="13" t="str">
        <f aca="false">IF(N115&lt;&gt;"Trade","",IF(M115="Short",D115,E115))</f>
        <v/>
      </c>
      <c r="P115" s="13" t="str">
        <f aca="false">IF(N115&lt;&gt;"Trade","",ABS(H115-O115))</f>
        <v/>
      </c>
      <c r="Q115" s="13" t="str">
        <f aca="false">IF(N115&lt;&gt;"Trade","",H115+IF(M115="Long",1,-1)*ZielR*P115)</f>
        <v/>
      </c>
      <c r="R115" s="13" t="str">
        <f aca="false">IF(OR(N115&lt;&gt;"Trade",I115=""),"",IF(I115="Ziel",Q115,IF(I115="Stop",O115,IF(J115="","",J115))))</f>
        <v/>
      </c>
      <c r="S115" s="13" t="str">
        <f aca="false">IF(R115="","",(R115-H115)*IF(M115="Long",1,-1)-2*Slippage)</f>
        <v/>
      </c>
      <c r="T115" s="14" t="str">
        <f aca="false">IF(OR(S115="",P115=0),"",S115/P115)</f>
        <v/>
      </c>
      <c r="U115" s="15" t="str">
        <f aca="false">IF(S115="","",S115*Punktwert*Kontrakte-Kommission*Kontrakte)</f>
        <v/>
      </c>
      <c r="V115" s="15" t="str">
        <f aca="false">IF(U115="","",SUM($U$5:U115))</f>
        <v/>
      </c>
      <c r="W115" s="15" t="str">
        <f aca="false">IF(V115="","",MAX(0,MAX($V$5:V115)))</f>
        <v/>
      </c>
      <c r="X115" s="15" t="str">
        <f aca="false">IF(V115="","",V115-W115)</f>
        <v/>
      </c>
      <c r="Y115" s="12" t="str">
        <f aca="false">IF(N115&lt;&gt;"Trade","",IF(P115=0,"Stop = Einstieg?",IF(I115="","Ergebnis eintragen",IF(AND(I115="Zeit",J115=""),"Kurs 11:30 fehlt",IF(OR(AND(M115="Short",H115&gt;F115),AND(M115="Long",H115&lt;G115)),"Einstieg prüfen","ok")))))</f>
        <v/>
      </c>
      <c r="Z115" s="16" t="str">
        <f aca="false">IF(A115="","",WEEKDAY(A115,2))</f>
        <v/>
      </c>
    </row>
    <row r="116" customFormat="false" ht="15" hidden="false" customHeight="false" outlineLevel="0" collapsed="false">
      <c r="A116" s="8"/>
      <c r="B116" s="9"/>
      <c r="C116" s="9"/>
      <c r="D116" s="9"/>
      <c r="E116" s="9"/>
      <c r="F116" s="9"/>
      <c r="G116" s="9"/>
      <c r="H116" s="9"/>
      <c r="I116" s="10"/>
      <c r="J116" s="9"/>
      <c r="K116" s="10"/>
      <c r="L116" s="11" t="str">
        <f aca="false">IF(OR(B116="",C116=""),"",(C116-B116)/B116)</f>
        <v/>
      </c>
      <c r="M116" s="12" t="str">
        <f aca="false">IF(L116="","",IF(ABS(L116)&lt;MinDrive,"kein Trade",IF(L116&gt;0,"Short","Long")))</f>
        <v/>
      </c>
      <c r="N116" s="12" t="str">
        <f aca="false">IF(OR(M116="",M116="kein Trade"),"",IF(H116="","kein Signal","Trade"))</f>
        <v/>
      </c>
      <c r="O116" s="13" t="str">
        <f aca="false">IF(N116&lt;&gt;"Trade","",IF(M116="Short",D116,E116))</f>
        <v/>
      </c>
      <c r="P116" s="13" t="str">
        <f aca="false">IF(N116&lt;&gt;"Trade","",ABS(H116-O116))</f>
        <v/>
      </c>
      <c r="Q116" s="13" t="str">
        <f aca="false">IF(N116&lt;&gt;"Trade","",H116+IF(M116="Long",1,-1)*ZielR*P116)</f>
        <v/>
      </c>
      <c r="R116" s="13" t="str">
        <f aca="false">IF(OR(N116&lt;&gt;"Trade",I116=""),"",IF(I116="Ziel",Q116,IF(I116="Stop",O116,IF(J116="","",J116))))</f>
        <v/>
      </c>
      <c r="S116" s="13" t="str">
        <f aca="false">IF(R116="","",(R116-H116)*IF(M116="Long",1,-1)-2*Slippage)</f>
        <v/>
      </c>
      <c r="T116" s="14" t="str">
        <f aca="false">IF(OR(S116="",P116=0),"",S116/P116)</f>
        <v/>
      </c>
      <c r="U116" s="15" t="str">
        <f aca="false">IF(S116="","",S116*Punktwert*Kontrakte-Kommission*Kontrakte)</f>
        <v/>
      </c>
      <c r="V116" s="15" t="str">
        <f aca="false">IF(U116="","",SUM($U$5:U116))</f>
        <v/>
      </c>
      <c r="W116" s="15" t="str">
        <f aca="false">IF(V116="","",MAX(0,MAX($V$5:V116)))</f>
        <v/>
      </c>
      <c r="X116" s="15" t="str">
        <f aca="false">IF(V116="","",V116-W116)</f>
        <v/>
      </c>
      <c r="Y116" s="12" t="str">
        <f aca="false">IF(N116&lt;&gt;"Trade","",IF(P116=0,"Stop = Einstieg?",IF(I116="","Ergebnis eintragen",IF(AND(I116="Zeit",J116=""),"Kurs 11:30 fehlt",IF(OR(AND(M116="Short",H116&gt;F116),AND(M116="Long",H116&lt;G116)),"Einstieg prüfen","ok")))))</f>
        <v/>
      </c>
      <c r="Z116" s="16" t="str">
        <f aca="false">IF(A116="","",WEEKDAY(A116,2))</f>
        <v/>
      </c>
    </row>
    <row r="117" customFormat="false" ht="15" hidden="false" customHeight="false" outlineLevel="0" collapsed="false">
      <c r="A117" s="8"/>
      <c r="B117" s="9"/>
      <c r="C117" s="9"/>
      <c r="D117" s="9"/>
      <c r="E117" s="9"/>
      <c r="F117" s="9"/>
      <c r="G117" s="9"/>
      <c r="H117" s="9"/>
      <c r="I117" s="10"/>
      <c r="J117" s="9"/>
      <c r="K117" s="10"/>
      <c r="L117" s="11" t="str">
        <f aca="false">IF(OR(B117="",C117=""),"",(C117-B117)/B117)</f>
        <v/>
      </c>
      <c r="M117" s="12" t="str">
        <f aca="false">IF(L117="","",IF(ABS(L117)&lt;MinDrive,"kein Trade",IF(L117&gt;0,"Short","Long")))</f>
        <v/>
      </c>
      <c r="N117" s="12" t="str">
        <f aca="false">IF(OR(M117="",M117="kein Trade"),"",IF(H117="","kein Signal","Trade"))</f>
        <v/>
      </c>
      <c r="O117" s="13" t="str">
        <f aca="false">IF(N117&lt;&gt;"Trade","",IF(M117="Short",D117,E117))</f>
        <v/>
      </c>
      <c r="P117" s="13" t="str">
        <f aca="false">IF(N117&lt;&gt;"Trade","",ABS(H117-O117))</f>
        <v/>
      </c>
      <c r="Q117" s="13" t="str">
        <f aca="false">IF(N117&lt;&gt;"Trade","",H117+IF(M117="Long",1,-1)*ZielR*P117)</f>
        <v/>
      </c>
      <c r="R117" s="13" t="str">
        <f aca="false">IF(OR(N117&lt;&gt;"Trade",I117=""),"",IF(I117="Ziel",Q117,IF(I117="Stop",O117,IF(J117="","",J117))))</f>
        <v/>
      </c>
      <c r="S117" s="13" t="str">
        <f aca="false">IF(R117="","",(R117-H117)*IF(M117="Long",1,-1)-2*Slippage)</f>
        <v/>
      </c>
      <c r="T117" s="14" t="str">
        <f aca="false">IF(OR(S117="",P117=0),"",S117/P117)</f>
        <v/>
      </c>
      <c r="U117" s="15" t="str">
        <f aca="false">IF(S117="","",S117*Punktwert*Kontrakte-Kommission*Kontrakte)</f>
        <v/>
      </c>
      <c r="V117" s="15" t="str">
        <f aca="false">IF(U117="","",SUM($U$5:U117))</f>
        <v/>
      </c>
      <c r="W117" s="15" t="str">
        <f aca="false">IF(V117="","",MAX(0,MAX($V$5:V117)))</f>
        <v/>
      </c>
      <c r="X117" s="15" t="str">
        <f aca="false">IF(V117="","",V117-W117)</f>
        <v/>
      </c>
      <c r="Y117" s="12" t="str">
        <f aca="false">IF(N117&lt;&gt;"Trade","",IF(P117=0,"Stop = Einstieg?",IF(I117="","Ergebnis eintragen",IF(AND(I117="Zeit",J117=""),"Kurs 11:30 fehlt",IF(OR(AND(M117="Short",H117&gt;F117),AND(M117="Long",H117&lt;G117)),"Einstieg prüfen","ok")))))</f>
        <v/>
      </c>
      <c r="Z117" s="16" t="str">
        <f aca="false">IF(A117="","",WEEKDAY(A117,2))</f>
        <v/>
      </c>
    </row>
    <row r="118" customFormat="false" ht="15" hidden="false" customHeight="false" outlineLevel="0" collapsed="false">
      <c r="A118" s="8"/>
      <c r="B118" s="9"/>
      <c r="C118" s="9"/>
      <c r="D118" s="9"/>
      <c r="E118" s="9"/>
      <c r="F118" s="9"/>
      <c r="G118" s="9"/>
      <c r="H118" s="9"/>
      <c r="I118" s="10"/>
      <c r="J118" s="9"/>
      <c r="K118" s="10"/>
      <c r="L118" s="11" t="str">
        <f aca="false">IF(OR(B118="",C118=""),"",(C118-B118)/B118)</f>
        <v/>
      </c>
      <c r="M118" s="12" t="str">
        <f aca="false">IF(L118="","",IF(ABS(L118)&lt;MinDrive,"kein Trade",IF(L118&gt;0,"Short","Long")))</f>
        <v/>
      </c>
      <c r="N118" s="12" t="str">
        <f aca="false">IF(OR(M118="",M118="kein Trade"),"",IF(H118="","kein Signal","Trade"))</f>
        <v/>
      </c>
      <c r="O118" s="13" t="str">
        <f aca="false">IF(N118&lt;&gt;"Trade","",IF(M118="Short",D118,E118))</f>
        <v/>
      </c>
      <c r="P118" s="13" t="str">
        <f aca="false">IF(N118&lt;&gt;"Trade","",ABS(H118-O118))</f>
        <v/>
      </c>
      <c r="Q118" s="13" t="str">
        <f aca="false">IF(N118&lt;&gt;"Trade","",H118+IF(M118="Long",1,-1)*ZielR*P118)</f>
        <v/>
      </c>
      <c r="R118" s="13" t="str">
        <f aca="false">IF(OR(N118&lt;&gt;"Trade",I118=""),"",IF(I118="Ziel",Q118,IF(I118="Stop",O118,IF(J118="","",J118))))</f>
        <v/>
      </c>
      <c r="S118" s="13" t="str">
        <f aca="false">IF(R118="","",(R118-H118)*IF(M118="Long",1,-1)-2*Slippage)</f>
        <v/>
      </c>
      <c r="T118" s="14" t="str">
        <f aca="false">IF(OR(S118="",P118=0),"",S118/P118)</f>
        <v/>
      </c>
      <c r="U118" s="15" t="str">
        <f aca="false">IF(S118="","",S118*Punktwert*Kontrakte-Kommission*Kontrakte)</f>
        <v/>
      </c>
      <c r="V118" s="15" t="str">
        <f aca="false">IF(U118="","",SUM($U$5:U118))</f>
        <v/>
      </c>
      <c r="W118" s="15" t="str">
        <f aca="false">IF(V118="","",MAX(0,MAX($V$5:V118)))</f>
        <v/>
      </c>
      <c r="X118" s="15" t="str">
        <f aca="false">IF(V118="","",V118-W118)</f>
        <v/>
      </c>
      <c r="Y118" s="12" t="str">
        <f aca="false">IF(N118&lt;&gt;"Trade","",IF(P118=0,"Stop = Einstieg?",IF(I118="","Ergebnis eintragen",IF(AND(I118="Zeit",J118=""),"Kurs 11:30 fehlt",IF(OR(AND(M118="Short",H118&gt;F118),AND(M118="Long",H118&lt;G118)),"Einstieg prüfen","ok")))))</f>
        <v/>
      </c>
      <c r="Z118" s="16" t="str">
        <f aca="false">IF(A118="","",WEEKDAY(A118,2))</f>
        <v/>
      </c>
    </row>
    <row r="119" customFormat="false" ht="15" hidden="false" customHeight="false" outlineLevel="0" collapsed="false">
      <c r="A119" s="8"/>
      <c r="B119" s="9"/>
      <c r="C119" s="9"/>
      <c r="D119" s="9"/>
      <c r="E119" s="9"/>
      <c r="F119" s="9"/>
      <c r="G119" s="9"/>
      <c r="H119" s="9"/>
      <c r="I119" s="10"/>
      <c r="J119" s="9"/>
      <c r="K119" s="10"/>
      <c r="L119" s="11" t="str">
        <f aca="false">IF(OR(B119="",C119=""),"",(C119-B119)/B119)</f>
        <v/>
      </c>
      <c r="M119" s="12" t="str">
        <f aca="false">IF(L119="","",IF(ABS(L119)&lt;MinDrive,"kein Trade",IF(L119&gt;0,"Short","Long")))</f>
        <v/>
      </c>
      <c r="N119" s="12" t="str">
        <f aca="false">IF(OR(M119="",M119="kein Trade"),"",IF(H119="","kein Signal","Trade"))</f>
        <v/>
      </c>
      <c r="O119" s="13" t="str">
        <f aca="false">IF(N119&lt;&gt;"Trade","",IF(M119="Short",D119,E119))</f>
        <v/>
      </c>
      <c r="P119" s="13" t="str">
        <f aca="false">IF(N119&lt;&gt;"Trade","",ABS(H119-O119))</f>
        <v/>
      </c>
      <c r="Q119" s="13" t="str">
        <f aca="false">IF(N119&lt;&gt;"Trade","",H119+IF(M119="Long",1,-1)*ZielR*P119)</f>
        <v/>
      </c>
      <c r="R119" s="13" t="str">
        <f aca="false">IF(OR(N119&lt;&gt;"Trade",I119=""),"",IF(I119="Ziel",Q119,IF(I119="Stop",O119,IF(J119="","",J119))))</f>
        <v/>
      </c>
      <c r="S119" s="13" t="str">
        <f aca="false">IF(R119="","",(R119-H119)*IF(M119="Long",1,-1)-2*Slippage)</f>
        <v/>
      </c>
      <c r="T119" s="14" t="str">
        <f aca="false">IF(OR(S119="",P119=0),"",S119/P119)</f>
        <v/>
      </c>
      <c r="U119" s="15" t="str">
        <f aca="false">IF(S119="","",S119*Punktwert*Kontrakte-Kommission*Kontrakte)</f>
        <v/>
      </c>
      <c r="V119" s="15" t="str">
        <f aca="false">IF(U119="","",SUM($U$5:U119))</f>
        <v/>
      </c>
      <c r="W119" s="15" t="str">
        <f aca="false">IF(V119="","",MAX(0,MAX($V$5:V119)))</f>
        <v/>
      </c>
      <c r="X119" s="15" t="str">
        <f aca="false">IF(V119="","",V119-W119)</f>
        <v/>
      </c>
      <c r="Y119" s="12" t="str">
        <f aca="false">IF(N119&lt;&gt;"Trade","",IF(P119=0,"Stop = Einstieg?",IF(I119="","Ergebnis eintragen",IF(AND(I119="Zeit",J119=""),"Kurs 11:30 fehlt",IF(OR(AND(M119="Short",H119&gt;F119),AND(M119="Long",H119&lt;G119)),"Einstieg prüfen","ok")))))</f>
        <v/>
      </c>
      <c r="Z119" s="16" t="str">
        <f aca="false">IF(A119="","",WEEKDAY(A119,2))</f>
        <v/>
      </c>
    </row>
    <row r="120" customFormat="false" ht="15" hidden="false" customHeight="false" outlineLevel="0" collapsed="false">
      <c r="A120" s="8"/>
      <c r="B120" s="9"/>
      <c r="C120" s="9"/>
      <c r="D120" s="9"/>
      <c r="E120" s="9"/>
      <c r="F120" s="9"/>
      <c r="G120" s="9"/>
      <c r="H120" s="9"/>
      <c r="I120" s="10"/>
      <c r="J120" s="9"/>
      <c r="K120" s="10"/>
      <c r="L120" s="11" t="str">
        <f aca="false">IF(OR(B120="",C120=""),"",(C120-B120)/B120)</f>
        <v/>
      </c>
      <c r="M120" s="12" t="str">
        <f aca="false">IF(L120="","",IF(ABS(L120)&lt;MinDrive,"kein Trade",IF(L120&gt;0,"Short","Long")))</f>
        <v/>
      </c>
      <c r="N120" s="12" t="str">
        <f aca="false">IF(OR(M120="",M120="kein Trade"),"",IF(H120="","kein Signal","Trade"))</f>
        <v/>
      </c>
      <c r="O120" s="13" t="str">
        <f aca="false">IF(N120&lt;&gt;"Trade","",IF(M120="Short",D120,E120))</f>
        <v/>
      </c>
      <c r="P120" s="13" t="str">
        <f aca="false">IF(N120&lt;&gt;"Trade","",ABS(H120-O120))</f>
        <v/>
      </c>
      <c r="Q120" s="13" t="str">
        <f aca="false">IF(N120&lt;&gt;"Trade","",H120+IF(M120="Long",1,-1)*ZielR*P120)</f>
        <v/>
      </c>
      <c r="R120" s="13" t="str">
        <f aca="false">IF(OR(N120&lt;&gt;"Trade",I120=""),"",IF(I120="Ziel",Q120,IF(I120="Stop",O120,IF(J120="","",J120))))</f>
        <v/>
      </c>
      <c r="S120" s="13" t="str">
        <f aca="false">IF(R120="","",(R120-H120)*IF(M120="Long",1,-1)-2*Slippage)</f>
        <v/>
      </c>
      <c r="T120" s="14" t="str">
        <f aca="false">IF(OR(S120="",P120=0),"",S120/P120)</f>
        <v/>
      </c>
      <c r="U120" s="15" t="str">
        <f aca="false">IF(S120="","",S120*Punktwert*Kontrakte-Kommission*Kontrakte)</f>
        <v/>
      </c>
      <c r="V120" s="15" t="str">
        <f aca="false">IF(U120="","",SUM($U$5:U120))</f>
        <v/>
      </c>
      <c r="W120" s="15" t="str">
        <f aca="false">IF(V120="","",MAX(0,MAX($V$5:V120)))</f>
        <v/>
      </c>
      <c r="X120" s="15" t="str">
        <f aca="false">IF(V120="","",V120-W120)</f>
        <v/>
      </c>
      <c r="Y120" s="12" t="str">
        <f aca="false">IF(N120&lt;&gt;"Trade","",IF(P120=0,"Stop = Einstieg?",IF(I120="","Ergebnis eintragen",IF(AND(I120="Zeit",J120=""),"Kurs 11:30 fehlt",IF(OR(AND(M120="Short",H120&gt;F120),AND(M120="Long",H120&lt;G120)),"Einstieg prüfen","ok")))))</f>
        <v/>
      </c>
      <c r="Z120" s="16" t="str">
        <f aca="false">IF(A120="","",WEEKDAY(A120,2))</f>
        <v/>
      </c>
    </row>
    <row r="121" customFormat="false" ht="15" hidden="false" customHeight="false" outlineLevel="0" collapsed="false">
      <c r="A121" s="8"/>
      <c r="B121" s="9"/>
      <c r="C121" s="9"/>
      <c r="D121" s="9"/>
      <c r="E121" s="9"/>
      <c r="F121" s="9"/>
      <c r="G121" s="9"/>
      <c r="H121" s="9"/>
      <c r="I121" s="10"/>
      <c r="J121" s="9"/>
      <c r="K121" s="10"/>
      <c r="L121" s="11" t="str">
        <f aca="false">IF(OR(B121="",C121=""),"",(C121-B121)/B121)</f>
        <v/>
      </c>
      <c r="M121" s="12" t="str">
        <f aca="false">IF(L121="","",IF(ABS(L121)&lt;MinDrive,"kein Trade",IF(L121&gt;0,"Short","Long")))</f>
        <v/>
      </c>
      <c r="N121" s="12" t="str">
        <f aca="false">IF(OR(M121="",M121="kein Trade"),"",IF(H121="","kein Signal","Trade"))</f>
        <v/>
      </c>
      <c r="O121" s="13" t="str">
        <f aca="false">IF(N121&lt;&gt;"Trade","",IF(M121="Short",D121,E121))</f>
        <v/>
      </c>
      <c r="P121" s="13" t="str">
        <f aca="false">IF(N121&lt;&gt;"Trade","",ABS(H121-O121))</f>
        <v/>
      </c>
      <c r="Q121" s="13" t="str">
        <f aca="false">IF(N121&lt;&gt;"Trade","",H121+IF(M121="Long",1,-1)*ZielR*P121)</f>
        <v/>
      </c>
      <c r="R121" s="13" t="str">
        <f aca="false">IF(OR(N121&lt;&gt;"Trade",I121=""),"",IF(I121="Ziel",Q121,IF(I121="Stop",O121,IF(J121="","",J121))))</f>
        <v/>
      </c>
      <c r="S121" s="13" t="str">
        <f aca="false">IF(R121="","",(R121-H121)*IF(M121="Long",1,-1)-2*Slippage)</f>
        <v/>
      </c>
      <c r="T121" s="14" t="str">
        <f aca="false">IF(OR(S121="",P121=0),"",S121/P121)</f>
        <v/>
      </c>
      <c r="U121" s="15" t="str">
        <f aca="false">IF(S121="","",S121*Punktwert*Kontrakte-Kommission*Kontrakte)</f>
        <v/>
      </c>
      <c r="V121" s="15" t="str">
        <f aca="false">IF(U121="","",SUM($U$5:U121))</f>
        <v/>
      </c>
      <c r="W121" s="15" t="str">
        <f aca="false">IF(V121="","",MAX(0,MAX($V$5:V121)))</f>
        <v/>
      </c>
      <c r="X121" s="15" t="str">
        <f aca="false">IF(V121="","",V121-W121)</f>
        <v/>
      </c>
      <c r="Y121" s="12" t="str">
        <f aca="false">IF(N121&lt;&gt;"Trade","",IF(P121=0,"Stop = Einstieg?",IF(I121="","Ergebnis eintragen",IF(AND(I121="Zeit",J121=""),"Kurs 11:30 fehlt",IF(OR(AND(M121="Short",H121&gt;F121),AND(M121="Long",H121&lt;G121)),"Einstieg prüfen","ok")))))</f>
        <v/>
      </c>
      <c r="Z121" s="16" t="str">
        <f aca="false">IF(A121="","",WEEKDAY(A121,2))</f>
        <v/>
      </c>
    </row>
    <row r="122" customFormat="false" ht="15" hidden="false" customHeight="false" outlineLevel="0" collapsed="false">
      <c r="A122" s="8"/>
      <c r="B122" s="9"/>
      <c r="C122" s="9"/>
      <c r="D122" s="9"/>
      <c r="E122" s="9"/>
      <c r="F122" s="9"/>
      <c r="G122" s="9"/>
      <c r="H122" s="9"/>
      <c r="I122" s="10"/>
      <c r="J122" s="9"/>
      <c r="K122" s="10"/>
      <c r="L122" s="11" t="str">
        <f aca="false">IF(OR(B122="",C122=""),"",(C122-B122)/B122)</f>
        <v/>
      </c>
      <c r="M122" s="12" t="str">
        <f aca="false">IF(L122="","",IF(ABS(L122)&lt;MinDrive,"kein Trade",IF(L122&gt;0,"Short","Long")))</f>
        <v/>
      </c>
      <c r="N122" s="12" t="str">
        <f aca="false">IF(OR(M122="",M122="kein Trade"),"",IF(H122="","kein Signal","Trade"))</f>
        <v/>
      </c>
      <c r="O122" s="13" t="str">
        <f aca="false">IF(N122&lt;&gt;"Trade","",IF(M122="Short",D122,E122))</f>
        <v/>
      </c>
      <c r="P122" s="13" t="str">
        <f aca="false">IF(N122&lt;&gt;"Trade","",ABS(H122-O122))</f>
        <v/>
      </c>
      <c r="Q122" s="13" t="str">
        <f aca="false">IF(N122&lt;&gt;"Trade","",H122+IF(M122="Long",1,-1)*ZielR*P122)</f>
        <v/>
      </c>
      <c r="R122" s="13" t="str">
        <f aca="false">IF(OR(N122&lt;&gt;"Trade",I122=""),"",IF(I122="Ziel",Q122,IF(I122="Stop",O122,IF(J122="","",J122))))</f>
        <v/>
      </c>
      <c r="S122" s="13" t="str">
        <f aca="false">IF(R122="","",(R122-H122)*IF(M122="Long",1,-1)-2*Slippage)</f>
        <v/>
      </c>
      <c r="T122" s="14" t="str">
        <f aca="false">IF(OR(S122="",P122=0),"",S122/P122)</f>
        <v/>
      </c>
      <c r="U122" s="15" t="str">
        <f aca="false">IF(S122="","",S122*Punktwert*Kontrakte-Kommission*Kontrakte)</f>
        <v/>
      </c>
      <c r="V122" s="15" t="str">
        <f aca="false">IF(U122="","",SUM($U$5:U122))</f>
        <v/>
      </c>
      <c r="W122" s="15" t="str">
        <f aca="false">IF(V122="","",MAX(0,MAX($V$5:V122)))</f>
        <v/>
      </c>
      <c r="X122" s="15" t="str">
        <f aca="false">IF(V122="","",V122-W122)</f>
        <v/>
      </c>
      <c r="Y122" s="12" t="str">
        <f aca="false">IF(N122&lt;&gt;"Trade","",IF(P122=0,"Stop = Einstieg?",IF(I122="","Ergebnis eintragen",IF(AND(I122="Zeit",J122=""),"Kurs 11:30 fehlt",IF(OR(AND(M122="Short",H122&gt;F122),AND(M122="Long",H122&lt;G122)),"Einstieg prüfen","ok")))))</f>
        <v/>
      </c>
      <c r="Z122" s="16" t="str">
        <f aca="false">IF(A122="","",WEEKDAY(A122,2))</f>
        <v/>
      </c>
    </row>
    <row r="123" customFormat="false" ht="15" hidden="false" customHeight="false" outlineLevel="0" collapsed="false">
      <c r="A123" s="8"/>
      <c r="B123" s="9"/>
      <c r="C123" s="9"/>
      <c r="D123" s="9"/>
      <c r="E123" s="9"/>
      <c r="F123" s="9"/>
      <c r="G123" s="9"/>
      <c r="H123" s="9"/>
      <c r="I123" s="10"/>
      <c r="J123" s="9"/>
      <c r="K123" s="10"/>
      <c r="L123" s="11" t="str">
        <f aca="false">IF(OR(B123="",C123=""),"",(C123-B123)/B123)</f>
        <v/>
      </c>
      <c r="M123" s="12" t="str">
        <f aca="false">IF(L123="","",IF(ABS(L123)&lt;MinDrive,"kein Trade",IF(L123&gt;0,"Short","Long")))</f>
        <v/>
      </c>
      <c r="N123" s="12" t="str">
        <f aca="false">IF(OR(M123="",M123="kein Trade"),"",IF(H123="","kein Signal","Trade"))</f>
        <v/>
      </c>
      <c r="O123" s="13" t="str">
        <f aca="false">IF(N123&lt;&gt;"Trade","",IF(M123="Short",D123,E123))</f>
        <v/>
      </c>
      <c r="P123" s="13" t="str">
        <f aca="false">IF(N123&lt;&gt;"Trade","",ABS(H123-O123))</f>
        <v/>
      </c>
      <c r="Q123" s="13" t="str">
        <f aca="false">IF(N123&lt;&gt;"Trade","",H123+IF(M123="Long",1,-1)*ZielR*P123)</f>
        <v/>
      </c>
      <c r="R123" s="13" t="str">
        <f aca="false">IF(OR(N123&lt;&gt;"Trade",I123=""),"",IF(I123="Ziel",Q123,IF(I123="Stop",O123,IF(J123="","",J123))))</f>
        <v/>
      </c>
      <c r="S123" s="13" t="str">
        <f aca="false">IF(R123="","",(R123-H123)*IF(M123="Long",1,-1)-2*Slippage)</f>
        <v/>
      </c>
      <c r="T123" s="14" t="str">
        <f aca="false">IF(OR(S123="",P123=0),"",S123/P123)</f>
        <v/>
      </c>
      <c r="U123" s="15" t="str">
        <f aca="false">IF(S123="","",S123*Punktwert*Kontrakte-Kommission*Kontrakte)</f>
        <v/>
      </c>
      <c r="V123" s="15" t="str">
        <f aca="false">IF(U123="","",SUM($U$5:U123))</f>
        <v/>
      </c>
      <c r="W123" s="15" t="str">
        <f aca="false">IF(V123="","",MAX(0,MAX($V$5:V123)))</f>
        <v/>
      </c>
      <c r="X123" s="15" t="str">
        <f aca="false">IF(V123="","",V123-W123)</f>
        <v/>
      </c>
      <c r="Y123" s="12" t="str">
        <f aca="false">IF(N123&lt;&gt;"Trade","",IF(P123=0,"Stop = Einstieg?",IF(I123="","Ergebnis eintragen",IF(AND(I123="Zeit",J123=""),"Kurs 11:30 fehlt",IF(OR(AND(M123="Short",H123&gt;F123),AND(M123="Long",H123&lt;G123)),"Einstieg prüfen","ok")))))</f>
        <v/>
      </c>
      <c r="Z123" s="16" t="str">
        <f aca="false">IF(A123="","",WEEKDAY(A123,2))</f>
        <v/>
      </c>
    </row>
    <row r="124" customFormat="false" ht="15" hidden="false" customHeight="false" outlineLevel="0" collapsed="false">
      <c r="A124" s="8"/>
      <c r="B124" s="9"/>
      <c r="C124" s="9"/>
      <c r="D124" s="9"/>
      <c r="E124" s="9"/>
      <c r="F124" s="9"/>
      <c r="G124" s="9"/>
      <c r="H124" s="9"/>
      <c r="I124" s="10"/>
      <c r="J124" s="9"/>
      <c r="K124" s="10"/>
      <c r="L124" s="11" t="str">
        <f aca="false">IF(OR(B124="",C124=""),"",(C124-B124)/B124)</f>
        <v/>
      </c>
      <c r="M124" s="12" t="str">
        <f aca="false">IF(L124="","",IF(ABS(L124)&lt;MinDrive,"kein Trade",IF(L124&gt;0,"Short","Long")))</f>
        <v/>
      </c>
      <c r="N124" s="12" t="str">
        <f aca="false">IF(OR(M124="",M124="kein Trade"),"",IF(H124="","kein Signal","Trade"))</f>
        <v/>
      </c>
      <c r="O124" s="13" t="str">
        <f aca="false">IF(N124&lt;&gt;"Trade","",IF(M124="Short",D124,E124))</f>
        <v/>
      </c>
      <c r="P124" s="13" t="str">
        <f aca="false">IF(N124&lt;&gt;"Trade","",ABS(H124-O124))</f>
        <v/>
      </c>
      <c r="Q124" s="13" t="str">
        <f aca="false">IF(N124&lt;&gt;"Trade","",H124+IF(M124="Long",1,-1)*ZielR*P124)</f>
        <v/>
      </c>
      <c r="R124" s="13" t="str">
        <f aca="false">IF(OR(N124&lt;&gt;"Trade",I124=""),"",IF(I124="Ziel",Q124,IF(I124="Stop",O124,IF(J124="","",J124))))</f>
        <v/>
      </c>
      <c r="S124" s="13" t="str">
        <f aca="false">IF(R124="","",(R124-H124)*IF(M124="Long",1,-1)-2*Slippage)</f>
        <v/>
      </c>
      <c r="T124" s="14" t="str">
        <f aca="false">IF(OR(S124="",P124=0),"",S124/P124)</f>
        <v/>
      </c>
      <c r="U124" s="15" t="str">
        <f aca="false">IF(S124="","",S124*Punktwert*Kontrakte-Kommission*Kontrakte)</f>
        <v/>
      </c>
      <c r="V124" s="15" t="str">
        <f aca="false">IF(U124="","",SUM($U$5:U124))</f>
        <v/>
      </c>
      <c r="W124" s="15" t="str">
        <f aca="false">IF(V124="","",MAX(0,MAX($V$5:V124)))</f>
        <v/>
      </c>
      <c r="X124" s="15" t="str">
        <f aca="false">IF(V124="","",V124-W124)</f>
        <v/>
      </c>
      <c r="Y124" s="12" t="str">
        <f aca="false">IF(N124&lt;&gt;"Trade","",IF(P124=0,"Stop = Einstieg?",IF(I124="","Ergebnis eintragen",IF(AND(I124="Zeit",J124=""),"Kurs 11:30 fehlt",IF(OR(AND(M124="Short",H124&gt;F124),AND(M124="Long",H124&lt;G124)),"Einstieg prüfen","ok")))))</f>
        <v/>
      </c>
      <c r="Z124" s="16" t="str">
        <f aca="false">IF(A124="","",WEEKDAY(A124,2))</f>
        <v/>
      </c>
    </row>
    <row r="125" customFormat="false" ht="15" hidden="false" customHeight="false" outlineLevel="0" collapsed="false">
      <c r="A125" s="8"/>
      <c r="B125" s="9"/>
      <c r="C125" s="9"/>
      <c r="D125" s="9"/>
      <c r="E125" s="9"/>
      <c r="F125" s="9"/>
      <c r="G125" s="9"/>
      <c r="H125" s="9"/>
      <c r="I125" s="10"/>
      <c r="J125" s="9"/>
      <c r="K125" s="10"/>
      <c r="L125" s="11" t="str">
        <f aca="false">IF(OR(B125="",C125=""),"",(C125-B125)/B125)</f>
        <v/>
      </c>
      <c r="M125" s="12" t="str">
        <f aca="false">IF(L125="","",IF(ABS(L125)&lt;MinDrive,"kein Trade",IF(L125&gt;0,"Short","Long")))</f>
        <v/>
      </c>
      <c r="N125" s="12" t="str">
        <f aca="false">IF(OR(M125="",M125="kein Trade"),"",IF(H125="","kein Signal","Trade"))</f>
        <v/>
      </c>
      <c r="O125" s="13" t="str">
        <f aca="false">IF(N125&lt;&gt;"Trade","",IF(M125="Short",D125,E125))</f>
        <v/>
      </c>
      <c r="P125" s="13" t="str">
        <f aca="false">IF(N125&lt;&gt;"Trade","",ABS(H125-O125))</f>
        <v/>
      </c>
      <c r="Q125" s="13" t="str">
        <f aca="false">IF(N125&lt;&gt;"Trade","",H125+IF(M125="Long",1,-1)*ZielR*P125)</f>
        <v/>
      </c>
      <c r="R125" s="13" t="str">
        <f aca="false">IF(OR(N125&lt;&gt;"Trade",I125=""),"",IF(I125="Ziel",Q125,IF(I125="Stop",O125,IF(J125="","",J125))))</f>
        <v/>
      </c>
      <c r="S125" s="13" t="str">
        <f aca="false">IF(R125="","",(R125-H125)*IF(M125="Long",1,-1)-2*Slippage)</f>
        <v/>
      </c>
      <c r="T125" s="14" t="str">
        <f aca="false">IF(OR(S125="",P125=0),"",S125/P125)</f>
        <v/>
      </c>
      <c r="U125" s="15" t="str">
        <f aca="false">IF(S125="","",S125*Punktwert*Kontrakte-Kommission*Kontrakte)</f>
        <v/>
      </c>
      <c r="V125" s="15" t="str">
        <f aca="false">IF(U125="","",SUM($U$5:U125))</f>
        <v/>
      </c>
      <c r="W125" s="15" t="str">
        <f aca="false">IF(V125="","",MAX(0,MAX($V$5:V125)))</f>
        <v/>
      </c>
      <c r="X125" s="15" t="str">
        <f aca="false">IF(V125="","",V125-W125)</f>
        <v/>
      </c>
      <c r="Y125" s="12" t="str">
        <f aca="false">IF(N125&lt;&gt;"Trade","",IF(P125=0,"Stop = Einstieg?",IF(I125="","Ergebnis eintragen",IF(AND(I125="Zeit",J125=""),"Kurs 11:30 fehlt",IF(OR(AND(M125="Short",H125&gt;F125),AND(M125="Long",H125&lt;G125)),"Einstieg prüfen","ok")))))</f>
        <v/>
      </c>
      <c r="Z125" s="16" t="str">
        <f aca="false">IF(A125="","",WEEKDAY(A125,2))</f>
        <v/>
      </c>
    </row>
    <row r="126" customFormat="false" ht="15" hidden="false" customHeight="false" outlineLevel="0" collapsed="false">
      <c r="A126" s="8"/>
      <c r="B126" s="9"/>
      <c r="C126" s="9"/>
      <c r="D126" s="9"/>
      <c r="E126" s="9"/>
      <c r="F126" s="9"/>
      <c r="G126" s="9"/>
      <c r="H126" s="9"/>
      <c r="I126" s="10"/>
      <c r="J126" s="9"/>
      <c r="K126" s="10"/>
      <c r="L126" s="11" t="str">
        <f aca="false">IF(OR(B126="",C126=""),"",(C126-B126)/B126)</f>
        <v/>
      </c>
      <c r="M126" s="12" t="str">
        <f aca="false">IF(L126="","",IF(ABS(L126)&lt;MinDrive,"kein Trade",IF(L126&gt;0,"Short","Long")))</f>
        <v/>
      </c>
      <c r="N126" s="12" t="str">
        <f aca="false">IF(OR(M126="",M126="kein Trade"),"",IF(H126="","kein Signal","Trade"))</f>
        <v/>
      </c>
      <c r="O126" s="13" t="str">
        <f aca="false">IF(N126&lt;&gt;"Trade","",IF(M126="Short",D126,E126))</f>
        <v/>
      </c>
      <c r="P126" s="13" t="str">
        <f aca="false">IF(N126&lt;&gt;"Trade","",ABS(H126-O126))</f>
        <v/>
      </c>
      <c r="Q126" s="13" t="str">
        <f aca="false">IF(N126&lt;&gt;"Trade","",H126+IF(M126="Long",1,-1)*ZielR*P126)</f>
        <v/>
      </c>
      <c r="R126" s="13" t="str">
        <f aca="false">IF(OR(N126&lt;&gt;"Trade",I126=""),"",IF(I126="Ziel",Q126,IF(I126="Stop",O126,IF(J126="","",J126))))</f>
        <v/>
      </c>
      <c r="S126" s="13" t="str">
        <f aca="false">IF(R126="","",(R126-H126)*IF(M126="Long",1,-1)-2*Slippage)</f>
        <v/>
      </c>
      <c r="T126" s="14" t="str">
        <f aca="false">IF(OR(S126="",P126=0),"",S126/P126)</f>
        <v/>
      </c>
      <c r="U126" s="15" t="str">
        <f aca="false">IF(S126="","",S126*Punktwert*Kontrakte-Kommission*Kontrakte)</f>
        <v/>
      </c>
      <c r="V126" s="15" t="str">
        <f aca="false">IF(U126="","",SUM($U$5:U126))</f>
        <v/>
      </c>
      <c r="W126" s="15" t="str">
        <f aca="false">IF(V126="","",MAX(0,MAX($V$5:V126)))</f>
        <v/>
      </c>
      <c r="X126" s="15" t="str">
        <f aca="false">IF(V126="","",V126-W126)</f>
        <v/>
      </c>
      <c r="Y126" s="12" t="str">
        <f aca="false">IF(N126&lt;&gt;"Trade","",IF(P126=0,"Stop = Einstieg?",IF(I126="","Ergebnis eintragen",IF(AND(I126="Zeit",J126=""),"Kurs 11:30 fehlt",IF(OR(AND(M126="Short",H126&gt;F126),AND(M126="Long",H126&lt;G126)),"Einstieg prüfen","ok")))))</f>
        <v/>
      </c>
      <c r="Z126" s="16" t="str">
        <f aca="false">IF(A126="","",WEEKDAY(A126,2))</f>
        <v/>
      </c>
    </row>
    <row r="127" customFormat="false" ht="15" hidden="false" customHeight="false" outlineLevel="0" collapsed="false">
      <c r="A127" s="8"/>
      <c r="B127" s="9"/>
      <c r="C127" s="9"/>
      <c r="D127" s="9"/>
      <c r="E127" s="9"/>
      <c r="F127" s="9"/>
      <c r="G127" s="9"/>
      <c r="H127" s="9"/>
      <c r="I127" s="10"/>
      <c r="J127" s="9"/>
      <c r="K127" s="10"/>
      <c r="L127" s="11" t="str">
        <f aca="false">IF(OR(B127="",C127=""),"",(C127-B127)/B127)</f>
        <v/>
      </c>
      <c r="M127" s="12" t="str">
        <f aca="false">IF(L127="","",IF(ABS(L127)&lt;MinDrive,"kein Trade",IF(L127&gt;0,"Short","Long")))</f>
        <v/>
      </c>
      <c r="N127" s="12" t="str">
        <f aca="false">IF(OR(M127="",M127="kein Trade"),"",IF(H127="","kein Signal","Trade"))</f>
        <v/>
      </c>
      <c r="O127" s="13" t="str">
        <f aca="false">IF(N127&lt;&gt;"Trade","",IF(M127="Short",D127,E127))</f>
        <v/>
      </c>
      <c r="P127" s="13" t="str">
        <f aca="false">IF(N127&lt;&gt;"Trade","",ABS(H127-O127))</f>
        <v/>
      </c>
      <c r="Q127" s="13" t="str">
        <f aca="false">IF(N127&lt;&gt;"Trade","",H127+IF(M127="Long",1,-1)*ZielR*P127)</f>
        <v/>
      </c>
      <c r="R127" s="13" t="str">
        <f aca="false">IF(OR(N127&lt;&gt;"Trade",I127=""),"",IF(I127="Ziel",Q127,IF(I127="Stop",O127,IF(J127="","",J127))))</f>
        <v/>
      </c>
      <c r="S127" s="13" t="str">
        <f aca="false">IF(R127="","",(R127-H127)*IF(M127="Long",1,-1)-2*Slippage)</f>
        <v/>
      </c>
      <c r="T127" s="14" t="str">
        <f aca="false">IF(OR(S127="",P127=0),"",S127/P127)</f>
        <v/>
      </c>
      <c r="U127" s="15" t="str">
        <f aca="false">IF(S127="","",S127*Punktwert*Kontrakte-Kommission*Kontrakte)</f>
        <v/>
      </c>
      <c r="V127" s="15" t="str">
        <f aca="false">IF(U127="","",SUM($U$5:U127))</f>
        <v/>
      </c>
      <c r="W127" s="15" t="str">
        <f aca="false">IF(V127="","",MAX(0,MAX($V$5:V127)))</f>
        <v/>
      </c>
      <c r="X127" s="15" t="str">
        <f aca="false">IF(V127="","",V127-W127)</f>
        <v/>
      </c>
      <c r="Y127" s="12" t="str">
        <f aca="false">IF(N127&lt;&gt;"Trade","",IF(P127=0,"Stop = Einstieg?",IF(I127="","Ergebnis eintragen",IF(AND(I127="Zeit",J127=""),"Kurs 11:30 fehlt",IF(OR(AND(M127="Short",H127&gt;F127),AND(M127="Long",H127&lt;G127)),"Einstieg prüfen","ok")))))</f>
        <v/>
      </c>
      <c r="Z127" s="16" t="str">
        <f aca="false">IF(A127="","",WEEKDAY(A127,2))</f>
        <v/>
      </c>
    </row>
    <row r="128" customFormat="false" ht="15" hidden="false" customHeight="false" outlineLevel="0" collapsed="false">
      <c r="A128" s="8"/>
      <c r="B128" s="9"/>
      <c r="C128" s="9"/>
      <c r="D128" s="9"/>
      <c r="E128" s="9"/>
      <c r="F128" s="9"/>
      <c r="G128" s="9"/>
      <c r="H128" s="9"/>
      <c r="I128" s="10"/>
      <c r="J128" s="9"/>
      <c r="K128" s="10"/>
      <c r="L128" s="11" t="str">
        <f aca="false">IF(OR(B128="",C128=""),"",(C128-B128)/B128)</f>
        <v/>
      </c>
      <c r="M128" s="12" t="str">
        <f aca="false">IF(L128="","",IF(ABS(L128)&lt;MinDrive,"kein Trade",IF(L128&gt;0,"Short","Long")))</f>
        <v/>
      </c>
      <c r="N128" s="12" t="str">
        <f aca="false">IF(OR(M128="",M128="kein Trade"),"",IF(H128="","kein Signal","Trade"))</f>
        <v/>
      </c>
      <c r="O128" s="13" t="str">
        <f aca="false">IF(N128&lt;&gt;"Trade","",IF(M128="Short",D128,E128))</f>
        <v/>
      </c>
      <c r="P128" s="13" t="str">
        <f aca="false">IF(N128&lt;&gt;"Trade","",ABS(H128-O128))</f>
        <v/>
      </c>
      <c r="Q128" s="13" t="str">
        <f aca="false">IF(N128&lt;&gt;"Trade","",H128+IF(M128="Long",1,-1)*ZielR*P128)</f>
        <v/>
      </c>
      <c r="R128" s="13" t="str">
        <f aca="false">IF(OR(N128&lt;&gt;"Trade",I128=""),"",IF(I128="Ziel",Q128,IF(I128="Stop",O128,IF(J128="","",J128))))</f>
        <v/>
      </c>
      <c r="S128" s="13" t="str">
        <f aca="false">IF(R128="","",(R128-H128)*IF(M128="Long",1,-1)-2*Slippage)</f>
        <v/>
      </c>
      <c r="T128" s="14" t="str">
        <f aca="false">IF(OR(S128="",P128=0),"",S128/P128)</f>
        <v/>
      </c>
      <c r="U128" s="15" t="str">
        <f aca="false">IF(S128="","",S128*Punktwert*Kontrakte-Kommission*Kontrakte)</f>
        <v/>
      </c>
      <c r="V128" s="15" t="str">
        <f aca="false">IF(U128="","",SUM($U$5:U128))</f>
        <v/>
      </c>
      <c r="W128" s="15" t="str">
        <f aca="false">IF(V128="","",MAX(0,MAX($V$5:V128)))</f>
        <v/>
      </c>
      <c r="X128" s="15" t="str">
        <f aca="false">IF(V128="","",V128-W128)</f>
        <v/>
      </c>
      <c r="Y128" s="12" t="str">
        <f aca="false">IF(N128&lt;&gt;"Trade","",IF(P128=0,"Stop = Einstieg?",IF(I128="","Ergebnis eintragen",IF(AND(I128="Zeit",J128=""),"Kurs 11:30 fehlt",IF(OR(AND(M128="Short",H128&gt;F128),AND(M128="Long",H128&lt;G128)),"Einstieg prüfen","ok")))))</f>
        <v/>
      </c>
      <c r="Z128" s="16" t="str">
        <f aca="false">IF(A128="","",WEEKDAY(A128,2))</f>
        <v/>
      </c>
    </row>
    <row r="129" customFormat="false" ht="15" hidden="false" customHeight="false" outlineLevel="0" collapsed="false">
      <c r="A129" s="8"/>
      <c r="B129" s="9"/>
      <c r="C129" s="9"/>
      <c r="D129" s="9"/>
      <c r="E129" s="9"/>
      <c r="F129" s="9"/>
      <c r="G129" s="9"/>
      <c r="H129" s="9"/>
      <c r="I129" s="10"/>
      <c r="J129" s="9"/>
      <c r="K129" s="10"/>
      <c r="L129" s="11" t="str">
        <f aca="false">IF(OR(B129="",C129=""),"",(C129-B129)/B129)</f>
        <v/>
      </c>
      <c r="M129" s="12" t="str">
        <f aca="false">IF(L129="","",IF(ABS(L129)&lt;MinDrive,"kein Trade",IF(L129&gt;0,"Short","Long")))</f>
        <v/>
      </c>
      <c r="N129" s="12" t="str">
        <f aca="false">IF(OR(M129="",M129="kein Trade"),"",IF(H129="","kein Signal","Trade"))</f>
        <v/>
      </c>
      <c r="O129" s="13" t="str">
        <f aca="false">IF(N129&lt;&gt;"Trade","",IF(M129="Short",D129,E129))</f>
        <v/>
      </c>
      <c r="P129" s="13" t="str">
        <f aca="false">IF(N129&lt;&gt;"Trade","",ABS(H129-O129))</f>
        <v/>
      </c>
      <c r="Q129" s="13" t="str">
        <f aca="false">IF(N129&lt;&gt;"Trade","",H129+IF(M129="Long",1,-1)*ZielR*P129)</f>
        <v/>
      </c>
      <c r="R129" s="13" t="str">
        <f aca="false">IF(OR(N129&lt;&gt;"Trade",I129=""),"",IF(I129="Ziel",Q129,IF(I129="Stop",O129,IF(J129="","",J129))))</f>
        <v/>
      </c>
      <c r="S129" s="13" t="str">
        <f aca="false">IF(R129="","",(R129-H129)*IF(M129="Long",1,-1)-2*Slippage)</f>
        <v/>
      </c>
      <c r="T129" s="14" t="str">
        <f aca="false">IF(OR(S129="",P129=0),"",S129/P129)</f>
        <v/>
      </c>
      <c r="U129" s="15" t="str">
        <f aca="false">IF(S129="","",S129*Punktwert*Kontrakte-Kommission*Kontrakte)</f>
        <v/>
      </c>
      <c r="V129" s="15" t="str">
        <f aca="false">IF(U129="","",SUM($U$5:U129))</f>
        <v/>
      </c>
      <c r="W129" s="15" t="str">
        <f aca="false">IF(V129="","",MAX(0,MAX($V$5:V129)))</f>
        <v/>
      </c>
      <c r="X129" s="15" t="str">
        <f aca="false">IF(V129="","",V129-W129)</f>
        <v/>
      </c>
      <c r="Y129" s="12" t="str">
        <f aca="false">IF(N129&lt;&gt;"Trade","",IF(P129=0,"Stop = Einstieg?",IF(I129="","Ergebnis eintragen",IF(AND(I129="Zeit",J129=""),"Kurs 11:30 fehlt",IF(OR(AND(M129="Short",H129&gt;F129),AND(M129="Long",H129&lt;G129)),"Einstieg prüfen","ok")))))</f>
        <v/>
      </c>
      <c r="Z129" s="16" t="str">
        <f aca="false">IF(A129="","",WEEKDAY(A129,2))</f>
        <v/>
      </c>
    </row>
    <row r="130" customFormat="false" ht="15" hidden="false" customHeight="false" outlineLevel="0" collapsed="false">
      <c r="A130" s="8"/>
      <c r="B130" s="9"/>
      <c r="C130" s="9"/>
      <c r="D130" s="9"/>
      <c r="E130" s="9"/>
      <c r="F130" s="9"/>
      <c r="G130" s="9"/>
      <c r="H130" s="9"/>
      <c r="I130" s="10"/>
      <c r="J130" s="9"/>
      <c r="K130" s="10"/>
      <c r="L130" s="11" t="str">
        <f aca="false">IF(OR(B130="",C130=""),"",(C130-B130)/B130)</f>
        <v/>
      </c>
      <c r="M130" s="12" t="str">
        <f aca="false">IF(L130="","",IF(ABS(L130)&lt;MinDrive,"kein Trade",IF(L130&gt;0,"Short","Long")))</f>
        <v/>
      </c>
      <c r="N130" s="12" t="str">
        <f aca="false">IF(OR(M130="",M130="kein Trade"),"",IF(H130="","kein Signal","Trade"))</f>
        <v/>
      </c>
      <c r="O130" s="13" t="str">
        <f aca="false">IF(N130&lt;&gt;"Trade","",IF(M130="Short",D130,E130))</f>
        <v/>
      </c>
      <c r="P130" s="13" t="str">
        <f aca="false">IF(N130&lt;&gt;"Trade","",ABS(H130-O130))</f>
        <v/>
      </c>
      <c r="Q130" s="13" t="str">
        <f aca="false">IF(N130&lt;&gt;"Trade","",H130+IF(M130="Long",1,-1)*ZielR*P130)</f>
        <v/>
      </c>
      <c r="R130" s="13" t="str">
        <f aca="false">IF(OR(N130&lt;&gt;"Trade",I130=""),"",IF(I130="Ziel",Q130,IF(I130="Stop",O130,IF(J130="","",J130))))</f>
        <v/>
      </c>
      <c r="S130" s="13" t="str">
        <f aca="false">IF(R130="","",(R130-H130)*IF(M130="Long",1,-1)-2*Slippage)</f>
        <v/>
      </c>
      <c r="T130" s="14" t="str">
        <f aca="false">IF(OR(S130="",P130=0),"",S130/P130)</f>
        <v/>
      </c>
      <c r="U130" s="15" t="str">
        <f aca="false">IF(S130="","",S130*Punktwert*Kontrakte-Kommission*Kontrakte)</f>
        <v/>
      </c>
      <c r="V130" s="15" t="str">
        <f aca="false">IF(U130="","",SUM($U$5:U130))</f>
        <v/>
      </c>
      <c r="W130" s="15" t="str">
        <f aca="false">IF(V130="","",MAX(0,MAX($V$5:V130)))</f>
        <v/>
      </c>
      <c r="X130" s="15" t="str">
        <f aca="false">IF(V130="","",V130-W130)</f>
        <v/>
      </c>
      <c r="Y130" s="12" t="str">
        <f aca="false">IF(N130&lt;&gt;"Trade","",IF(P130=0,"Stop = Einstieg?",IF(I130="","Ergebnis eintragen",IF(AND(I130="Zeit",J130=""),"Kurs 11:30 fehlt",IF(OR(AND(M130="Short",H130&gt;F130),AND(M130="Long",H130&lt;G130)),"Einstieg prüfen","ok")))))</f>
        <v/>
      </c>
      <c r="Z130" s="16" t="str">
        <f aca="false">IF(A130="","",WEEKDAY(A130,2))</f>
        <v/>
      </c>
    </row>
    <row r="131" customFormat="false" ht="15" hidden="false" customHeight="false" outlineLevel="0" collapsed="false">
      <c r="A131" s="8"/>
      <c r="B131" s="9"/>
      <c r="C131" s="9"/>
      <c r="D131" s="9"/>
      <c r="E131" s="9"/>
      <c r="F131" s="9"/>
      <c r="G131" s="9"/>
      <c r="H131" s="9"/>
      <c r="I131" s="10"/>
      <c r="J131" s="9"/>
      <c r="K131" s="10"/>
      <c r="L131" s="11" t="str">
        <f aca="false">IF(OR(B131="",C131=""),"",(C131-B131)/B131)</f>
        <v/>
      </c>
      <c r="M131" s="12" t="str">
        <f aca="false">IF(L131="","",IF(ABS(L131)&lt;MinDrive,"kein Trade",IF(L131&gt;0,"Short","Long")))</f>
        <v/>
      </c>
      <c r="N131" s="12" t="str">
        <f aca="false">IF(OR(M131="",M131="kein Trade"),"",IF(H131="","kein Signal","Trade"))</f>
        <v/>
      </c>
      <c r="O131" s="13" t="str">
        <f aca="false">IF(N131&lt;&gt;"Trade","",IF(M131="Short",D131,E131))</f>
        <v/>
      </c>
      <c r="P131" s="13" t="str">
        <f aca="false">IF(N131&lt;&gt;"Trade","",ABS(H131-O131))</f>
        <v/>
      </c>
      <c r="Q131" s="13" t="str">
        <f aca="false">IF(N131&lt;&gt;"Trade","",H131+IF(M131="Long",1,-1)*ZielR*P131)</f>
        <v/>
      </c>
      <c r="R131" s="13" t="str">
        <f aca="false">IF(OR(N131&lt;&gt;"Trade",I131=""),"",IF(I131="Ziel",Q131,IF(I131="Stop",O131,IF(J131="","",J131))))</f>
        <v/>
      </c>
      <c r="S131" s="13" t="str">
        <f aca="false">IF(R131="","",(R131-H131)*IF(M131="Long",1,-1)-2*Slippage)</f>
        <v/>
      </c>
      <c r="T131" s="14" t="str">
        <f aca="false">IF(OR(S131="",P131=0),"",S131/P131)</f>
        <v/>
      </c>
      <c r="U131" s="15" t="str">
        <f aca="false">IF(S131="","",S131*Punktwert*Kontrakte-Kommission*Kontrakte)</f>
        <v/>
      </c>
      <c r="V131" s="15" t="str">
        <f aca="false">IF(U131="","",SUM($U$5:U131))</f>
        <v/>
      </c>
      <c r="W131" s="15" t="str">
        <f aca="false">IF(V131="","",MAX(0,MAX($V$5:V131)))</f>
        <v/>
      </c>
      <c r="X131" s="15" t="str">
        <f aca="false">IF(V131="","",V131-W131)</f>
        <v/>
      </c>
      <c r="Y131" s="12" t="str">
        <f aca="false">IF(N131&lt;&gt;"Trade","",IF(P131=0,"Stop = Einstieg?",IF(I131="","Ergebnis eintragen",IF(AND(I131="Zeit",J131=""),"Kurs 11:30 fehlt",IF(OR(AND(M131="Short",H131&gt;F131),AND(M131="Long",H131&lt;G131)),"Einstieg prüfen","ok")))))</f>
        <v/>
      </c>
      <c r="Z131" s="16" t="str">
        <f aca="false">IF(A131="","",WEEKDAY(A131,2))</f>
        <v/>
      </c>
    </row>
    <row r="132" customFormat="false" ht="15" hidden="false" customHeight="false" outlineLevel="0" collapsed="false">
      <c r="A132" s="8"/>
      <c r="B132" s="9"/>
      <c r="C132" s="9"/>
      <c r="D132" s="9"/>
      <c r="E132" s="9"/>
      <c r="F132" s="9"/>
      <c r="G132" s="9"/>
      <c r="H132" s="9"/>
      <c r="I132" s="10"/>
      <c r="J132" s="9"/>
      <c r="K132" s="10"/>
      <c r="L132" s="11" t="str">
        <f aca="false">IF(OR(B132="",C132=""),"",(C132-B132)/B132)</f>
        <v/>
      </c>
      <c r="M132" s="12" t="str">
        <f aca="false">IF(L132="","",IF(ABS(L132)&lt;MinDrive,"kein Trade",IF(L132&gt;0,"Short","Long")))</f>
        <v/>
      </c>
      <c r="N132" s="12" t="str">
        <f aca="false">IF(OR(M132="",M132="kein Trade"),"",IF(H132="","kein Signal","Trade"))</f>
        <v/>
      </c>
      <c r="O132" s="13" t="str">
        <f aca="false">IF(N132&lt;&gt;"Trade","",IF(M132="Short",D132,E132))</f>
        <v/>
      </c>
      <c r="P132" s="13" t="str">
        <f aca="false">IF(N132&lt;&gt;"Trade","",ABS(H132-O132))</f>
        <v/>
      </c>
      <c r="Q132" s="13" t="str">
        <f aca="false">IF(N132&lt;&gt;"Trade","",H132+IF(M132="Long",1,-1)*ZielR*P132)</f>
        <v/>
      </c>
      <c r="R132" s="13" t="str">
        <f aca="false">IF(OR(N132&lt;&gt;"Trade",I132=""),"",IF(I132="Ziel",Q132,IF(I132="Stop",O132,IF(J132="","",J132))))</f>
        <v/>
      </c>
      <c r="S132" s="13" t="str">
        <f aca="false">IF(R132="","",(R132-H132)*IF(M132="Long",1,-1)-2*Slippage)</f>
        <v/>
      </c>
      <c r="T132" s="14" t="str">
        <f aca="false">IF(OR(S132="",P132=0),"",S132/P132)</f>
        <v/>
      </c>
      <c r="U132" s="15" t="str">
        <f aca="false">IF(S132="","",S132*Punktwert*Kontrakte-Kommission*Kontrakte)</f>
        <v/>
      </c>
      <c r="V132" s="15" t="str">
        <f aca="false">IF(U132="","",SUM($U$5:U132))</f>
        <v/>
      </c>
      <c r="W132" s="15" t="str">
        <f aca="false">IF(V132="","",MAX(0,MAX($V$5:V132)))</f>
        <v/>
      </c>
      <c r="X132" s="15" t="str">
        <f aca="false">IF(V132="","",V132-W132)</f>
        <v/>
      </c>
      <c r="Y132" s="12" t="str">
        <f aca="false">IF(N132&lt;&gt;"Trade","",IF(P132=0,"Stop = Einstieg?",IF(I132="","Ergebnis eintragen",IF(AND(I132="Zeit",J132=""),"Kurs 11:30 fehlt",IF(OR(AND(M132="Short",H132&gt;F132),AND(M132="Long",H132&lt;G132)),"Einstieg prüfen","ok")))))</f>
        <v/>
      </c>
      <c r="Z132" s="16" t="str">
        <f aca="false">IF(A132="","",WEEKDAY(A132,2))</f>
        <v/>
      </c>
    </row>
    <row r="133" customFormat="false" ht="15" hidden="false" customHeight="false" outlineLevel="0" collapsed="false">
      <c r="A133" s="8"/>
      <c r="B133" s="9"/>
      <c r="C133" s="9"/>
      <c r="D133" s="9"/>
      <c r="E133" s="9"/>
      <c r="F133" s="9"/>
      <c r="G133" s="9"/>
      <c r="H133" s="9"/>
      <c r="I133" s="10"/>
      <c r="J133" s="9"/>
      <c r="K133" s="10"/>
      <c r="L133" s="11" t="str">
        <f aca="false">IF(OR(B133="",C133=""),"",(C133-B133)/B133)</f>
        <v/>
      </c>
      <c r="M133" s="12" t="str">
        <f aca="false">IF(L133="","",IF(ABS(L133)&lt;MinDrive,"kein Trade",IF(L133&gt;0,"Short","Long")))</f>
        <v/>
      </c>
      <c r="N133" s="12" t="str">
        <f aca="false">IF(OR(M133="",M133="kein Trade"),"",IF(H133="","kein Signal","Trade"))</f>
        <v/>
      </c>
      <c r="O133" s="13" t="str">
        <f aca="false">IF(N133&lt;&gt;"Trade","",IF(M133="Short",D133,E133))</f>
        <v/>
      </c>
      <c r="P133" s="13" t="str">
        <f aca="false">IF(N133&lt;&gt;"Trade","",ABS(H133-O133))</f>
        <v/>
      </c>
      <c r="Q133" s="13" t="str">
        <f aca="false">IF(N133&lt;&gt;"Trade","",H133+IF(M133="Long",1,-1)*ZielR*P133)</f>
        <v/>
      </c>
      <c r="R133" s="13" t="str">
        <f aca="false">IF(OR(N133&lt;&gt;"Trade",I133=""),"",IF(I133="Ziel",Q133,IF(I133="Stop",O133,IF(J133="","",J133))))</f>
        <v/>
      </c>
      <c r="S133" s="13" t="str">
        <f aca="false">IF(R133="","",(R133-H133)*IF(M133="Long",1,-1)-2*Slippage)</f>
        <v/>
      </c>
      <c r="T133" s="14" t="str">
        <f aca="false">IF(OR(S133="",P133=0),"",S133/P133)</f>
        <v/>
      </c>
      <c r="U133" s="15" t="str">
        <f aca="false">IF(S133="","",S133*Punktwert*Kontrakte-Kommission*Kontrakte)</f>
        <v/>
      </c>
      <c r="V133" s="15" t="str">
        <f aca="false">IF(U133="","",SUM($U$5:U133))</f>
        <v/>
      </c>
      <c r="W133" s="15" t="str">
        <f aca="false">IF(V133="","",MAX(0,MAX($V$5:V133)))</f>
        <v/>
      </c>
      <c r="X133" s="15" t="str">
        <f aca="false">IF(V133="","",V133-W133)</f>
        <v/>
      </c>
      <c r="Y133" s="12" t="str">
        <f aca="false">IF(N133&lt;&gt;"Trade","",IF(P133=0,"Stop = Einstieg?",IF(I133="","Ergebnis eintragen",IF(AND(I133="Zeit",J133=""),"Kurs 11:30 fehlt",IF(OR(AND(M133="Short",H133&gt;F133),AND(M133="Long",H133&lt;G133)),"Einstieg prüfen","ok")))))</f>
        <v/>
      </c>
      <c r="Z133" s="16" t="str">
        <f aca="false">IF(A133="","",WEEKDAY(A133,2))</f>
        <v/>
      </c>
    </row>
    <row r="134" customFormat="false" ht="15" hidden="false" customHeight="false" outlineLevel="0" collapsed="false">
      <c r="A134" s="8"/>
      <c r="B134" s="9"/>
      <c r="C134" s="9"/>
      <c r="D134" s="9"/>
      <c r="E134" s="9"/>
      <c r="F134" s="9"/>
      <c r="G134" s="9"/>
      <c r="H134" s="9"/>
      <c r="I134" s="10"/>
      <c r="J134" s="9"/>
      <c r="K134" s="10"/>
      <c r="L134" s="11" t="str">
        <f aca="false">IF(OR(B134="",C134=""),"",(C134-B134)/B134)</f>
        <v/>
      </c>
      <c r="M134" s="12" t="str">
        <f aca="false">IF(L134="","",IF(ABS(L134)&lt;MinDrive,"kein Trade",IF(L134&gt;0,"Short","Long")))</f>
        <v/>
      </c>
      <c r="N134" s="12" t="str">
        <f aca="false">IF(OR(M134="",M134="kein Trade"),"",IF(H134="","kein Signal","Trade"))</f>
        <v/>
      </c>
      <c r="O134" s="13" t="str">
        <f aca="false">IF(N134&lt;&gt;"Trade","",IF(M134="Short",D134,E134))</f>
        <v/>
      </c>
      <c r="P134" s="13" t="str">
        <f aca="false">IF(N134&lt;&gt;"Trade","",ABS(H134-O134))</f>
        <v/>
      </c>
      <c r="Q134" s="13" t="str">
        <f aca="false">IF(N134&lt;&gt;"Trade","",H134+IF(M134="Long",1,-1)*ZielR*P134)</f>
        <v/>
      </c>
      <c r="R134" s="13" t="str">
        <f aca="false">IF(OR(N134&lt;&gt;"Trade",I134=""),"",IF(I134="Ziel",Q134,IF(I134="Stop",O134,IF(J134="","",J134))))</f>
        <v/>
      </c>
      <c r="S134" s="13" t="str">
        <f aca="false">IF(R134="","",(R134-H134)*IF(M134="Long",1,-1)-2*Slippage)</f>
        <v/>
      </c>
      <c r="T134" s="14" t="str">
        <f aca="false">IF(OR(S134="",P134=0),"",S134/P134)</f>
        <v/>
      </c>
      <c r="U134" s="15" t="str">
        <f aca="false">IF(S134="","",S134*Punktwert*Kontrakte-Kommission*Kontrakte)</f>
        <v/>
      </c>
      <c r="V134" s="15" t="str">
        <f aca="false">IF(U134="","",SUM($U$5:U134))</f>
        <v/>
      </c>
      <c r="W134" s="15" t="str">
        <f aca="false">IF(V134="","",MAX(0,MAX($V$5:V134)))</f>
        <v/>
      </c>
      <c r="X134" s="15" t="str">
        <f aca="false">IF(V134="","",V134-W134)</f>
        <v/>
      </c>
      <c r="Y134" s="12" t="str">
        <f aca="false">IF(N134&lt;&gt;"Trade","",IF(P134=0,"Stop = Einstieg?",IF(I134="","Ergebnis eintragen",IF(AND(I134="Zeit",J134=""),"Kurs 11:30 fehlt",IF(OR(AND(M134="Short",H134&gt;F134),AND(M134="Long",H134&lt;G134)),"Einstieg prüfen","ok")))))</f>
        <v/>
      </c>
      <c r="Z134" s="16" t="str">
        <f aca="false">IF(A134="","",WEEKDAY(A134,2))</f>
        <v/>
      </c>
    </row>
    <row r="135" customFormat="false" ht="15" hidden="false" customHeight="false" outlineLevel="0" collapsed="false">
      <c r="A135" s="8"/>
      <c r="B135" s="9"/>
      <c r="C135" s="9"/>
      <c r="D135" s="9"/>
      <c r="E135" s="9"/>
      <c r="F135" s="9"/>
      <c r="G135" s="9"/>
      <c r="H135" s="9"/>
      <c r="I135" s="10"/>
      <c r="J135" s="9"/>
      <c r="K135" s="10"/>
      <c r="L135" s="11" t="str">
        <f aca="false">IF(OR(B135="",C135=""),"",(C135-B135)/B135)</f>
        <v/>
      </c>
      <c r="M135" s="12" t="str">
        <f aca="false">IF(L135="","",IF(ABS(L135)&lt;MinDrive,"kein Trade",IF(L135&gt;0,"Short","Long")))</f>
        <v/>
      </c>
      <c r="N135" s="12" t="str">
        <f aca="false">IF(OR(M135="",M135="kein Trade"),"",IF(H135="","kein Signal","Trade"))</f>
        <v/>
      </c>
      <c r="O135" s="13" t="str">
        <f aca="false">IF(N135&lt;&gt;"Trade","",IF(M135="Short",D135,E135))</f>
        <v/>
      </c>
      <c r="P135" s="13" t="str">
        <f aca="false">IF(N135&lt;&gt;"Trade","",ABS(H135-O135))</f>
        <v/>
      </c>
      <c r="Q135" s="13" t="str">
        <f aca="false">IF(N135&lt;&gt;"Trade","",H135+IF(M135="Long",1,-1)*ZielR*P135)</f>
        <v/>
      </c>
      <c r="R135" s="13" t="str">
        <f aca="false">IF(OR(N135&lt;&gt;"Trade",I135=""),"",IF(I135="Ziel",Q135,IF(I135="Stop",O135,IF(J135="","",J135))))</f>
        <v/>
      </c>
      <c r="S135" s="13" t="str">
        <f aca="false">IF(R135="","",(R135-H135)*IF(M135="Long",1,-1)-2*Slippage)</f>
        <v/>
      </c>
      <c r="T135" s="14" t="str">
        <f aca="false">IF(OR(S135="",P135=0),"",S135/P135)</f>
        <v/>
      </c>
      <c r="U135" s="15" t="str">
        <f aca="false">IF(S135="","",S135*Punktwert*Kontrakte-Kommission*Kontrakte)</f>
        <v/>
      </c>
      <c r="V135" s="15" t="str">
        <f aca="false">IF(U135="","",SUM($U$5:U135))</f>
        <v/>
      </c>
      <c r="W135" s="15" t="str">
        <f aca="false">IF(V135="","",MAX(0,MAX($V$5:V135)))</f>
        <v/>
      </c>
      <c r="X135" s="15" t="str">
        <f aca="false">IF(V135="","",V135-W135)</f>
        <v/>
      </c>
      <c r="Y135" s="12" t="str">
        <f aca="false">IF(N135&lt;&gt;"Trade","",IF(P135=0,"Stop = Einstieg?",IF(I135="","Ergebnis eintragen",IF(AND(I135="Zeit",J135=""),"Kurs 11:30 fehlt",IF(OR(AND(M135="Short",H135&gt;F135),AND(M135="Long",H135&lt;G135)),"Einstieg prüfen","ok")))))</f>
        <v/>
      </c>
      <c r="Z135" s="16" t="str">
        <f aca="false">IF(A135="","",WEEKDAY(A135,2))</f>
        <v/>
      </c>
    </row>
    <row r="136" customFormat="false" ht="15" hidden="false" customHeight="false" outlineLevel="0" collapsed="false">
      <c r="A136" s="8"/>
      <c r="B136" s="9"/>
      <c r="C136" s="9"/>
      <c r="D136" s="9"/>
      <c r="E136" s="9"/>
      <c r="F136" s="9"/>
      <c r="G136" s="9"/>
      <c r="H136" s="9"/>
      <c r="I136" s="10"/>
      <c r="J136" s="9"/>
      <c r="K136" s="10"/>
      <c r="L136" s="11" t="str">
        <f aca="false">IF(OR(B136="",C136=""),"",(C136-B136)/B136)</f>
        <v/>
      </c>
      <c r="M136" s="12" t="str">
        <f aca="false">IF(L136="","",IF(ABS(L136)&lt;MinDrive,"kein Trade",IF(L136&gt;0,"Short","Long")))</f>
        <v/>
      </c>
      <c r="N136" s="12" t="str">
        <f aca="false">IF(OR(M136="",M136="kein Trade"),"",IF(H136="","kein Signal","Trade"))</f>
        <v/>
      </c>
      <c r="O136" s="13" t="str">
        <f aca="false">IF(N136&lt;&gt;"Trade","",IF(M136="Short",D136,E136))</f>
        <v/>
      </c>
      <c r="P136" s="13" t="str">
        <f aca="false">IF(N136&lt;&gt;"Trade","",ABS(H136-O136))</f>
        <v/>
      </c>
      <c r="Q136" s="13" t="str">
        <f aca="false">IF(N136&lt;&gt;"Trade","",H136+IF(M136="Long",1,-1)*ZielR*P136)</f>
        <v/>
      </c>
      <c r="R136" s="13" t="str">
        <f aca="false">IF(OR(N136&lt;&gt;"Trade",I136=""),"",IF(I136="Ziel",Q136,IF(I136="Stop",O136,IF(J136="","",J136))))</f>
        <v/>
      </c>
      <c r="S136" s="13" t="str">
        <f aca="false">IF(R136="","",(R136-H136)*IF(M136="Long",1,-1)-2*Slippage)</f>
        <v/>
      </c>
      <c r="T136" s="14" t="str">
        <f aca="false">IF(OR(S136="",P136=0),"",S136/P136)</f>
        <v/>
      </c>
      <c r="U136" s="15" t="str">
        <f aca="false">IF(S136="","",S136*Punktwert*Kontrakte-Kommission*Kontrakte)</f>
        <v/>
      </c>
      <c r="V136" s="15" t="str">
        <f aca="false">IF(U136="","",SUM($U$5:U136))</f>
        <v/>
      </c>
      <c r="W136" s="15" t="str">
        <f aca="false">IF(V136="","",MAX(0,MAX($V$5:V136)))</f>
        <v/>
      </c>
      <c r="X136" s="15" t="str">
        <f aca="false">IF(V136="","",V136-W136)</f>
        <v/>
      </c>
      <c r="Y136" s="12" t="str">
        <f aca="false">IF(N136&lt;&gt;"Trade","",IF(P136=0,"Stop = Einstieg?",IF(I136="","Ergebnis eintragen",IF(AND(I136="Zeit",J136=""),"Kurs 11:30 fehlt",IF(OR(AND(M136="Short",H136&gt;F136),AND(M136="Long",H136&lt;G136)),"Einstieg prüfen","ok")))))</f>
        <v/>
      </c>
      <c r="Z136" s="16" t="str">
        <f aca="false">IF(A136="","",WEEKDAY(A136,2))</f>
        <v/>
      </c>
    </row>
    <row r="137" customFormat="false" ht="15" hidden="false" customHeight="false" outlineLevel="0" collapsed="false">
      <c r="A137" s="8"/>
      <c r="B137" s="9"/>
      <c r="C137" s="9"/>
      <c r="D137" s="9"/>
      <c r="E137" s="9"/>
      <c r="F137" s="9"/>
      <c r="G137" s="9"/>
      <c r="H137" s="9"/>
      <c r="I137" s="10"/>
      <c r="J137" s="9"/>
      <c r="K137" s="10"/>
      <c r="L137" s="11" t="str">
        <f aca="false">IF(OR(B137="",C137=""),"",(C137-B137)/B137)</f>
        <v/>
      </c>
      <c r="M137" s="12" t="str">
        <f aca="false">IF(L137="","",IF(ABS(L137)&lt;MinDrive,"kein Trade",IF(L137&gt;0,"Short","Long")))</f>
        <v/>
      </c>
      <c r="N137" s="12" t="str">
        <f aca="false">IF(OR(M137="",M137="kein Trade"),"",IF(H137="","kein Signal","Trade"))</f>
        <v/>
      </c>
      <c r="O137" s="13" t="str">
        <f aca="false">IF(N137&lt;&gt;"Trade","",IF(M137="Short",D137,E137))</f>
        <v/>
      </c>
      <c r="P137" s="13" t="str">
        <f aca="false">IF(N137&lt;&gt;"Trade","",ABS(H137-O137))</f>
        <v/>
      </c>
      <c r="Q137" s="13" t="str">
        <f aca="false">IF(N137&lt;&gt;"Trade","",H137+IF(M137="Long",1,-1)*ZielR*P137)</f>
        <v/>
      </c>
      <c r="R137" s="13" t="str">
        <f aca="false">IF(OR(N137&lt;&gt;"Trade",I137=""),"",IF(I137="Ziel",Q137,IF(I137="Stop",O137,IF(J137="","",J137))))</f>
        <v/>
      </c>
      <c r="S137" s="13" t="str">
        <f aca="false">IF(R137="","",(R137-H137)*IF(M137="Long",1,-1)-2*Slippage)</f>
        <v/>
      </c>
      <c r="T137" s="14" t="str">
        <f aca="false">IF(OR(S137="",P137=0),"",S137/P137)</f>
        <v/>
      </c>
      <c r="U137" s="15" t="str">
        <f aca="false">IF(S137="","",S137*Punktwert*Kontrakte-Kommission*Kontrakte)</f>
        <v/>
      </c>
      <c r="V137" s="15" t="str">
        <f aca="false">IF(U137="","",SUM($U$5:U137))</f>
        <v/>
      </c>
      <c r="W137" s="15" t="str">
        <f aca="false">IF(V137="","",MAX(0,MAX($V$5:V137)))</f>
        <v/>
      </c>
      <c r="X137" s="15" t="str">
        <f aca="false">IF(V137="","",V137-W137)</f>
        <v/>
      </c>
      <c r="Y137" s="12" t="str">
        <f aca="false">IF(N137&lt;&gt;"Trade","",IF(P137=0,"Stop = Einstieg?",IF(I137="","Ergebnis eintragen",IF(AND(I137="Zeit",J137=""),"Kurs 11:30 fehlt",IF(OR(AND(M137="Short",H137&gt;F137),AND(M137="Long",H137&lt;G137)),"Einstieg prüfen","ok")))))</f>
        <v/>
      </c>
      <c r="Z137" s="16" t="str">
        <f aca="false">IF(A137="","",WEEKDAY(A137,2))</f>
        <v/>
      </c>
    </row>
    <row r="138" customFormat="false" ht="15" hidden="false" customHeight="false" outlineLevel="0" collapsed="false">
      <c r="A138" s="8"/>
      <c r="B138" s="9"/>
      <c r="C138" s="9"/>
      <c r="D138" s="9"/>
      <c r="E138" s="9"/>
      <c r="F138" s="9"/>
      <c r="G138" s="9"/>
      <c r="H138" s="9"/>
      <c r="I138" s="10"/>
      <c r="J138" s="9"/>
      <c r="K138" s="10"/>
      <c r="L138" s="11" t="str">
        <f aca="false">IF(OR(B138="",C138=""),"",(C138-B138)/B138)</f>
        <v/>
      </c>
      <c r="M138" s="12" t="str">
        <f aca="false">IF(L138="","",IF(ABS(L138)&lt;MinDrive,"kein Trade",IF(L138&gt;0,"Short","Long")))</f>
        <v/>
      </c>
      <c r="N138" s="12" t="str">
        <f aca="false">IF(OR(M138="",M138="kein Trade"),"",IF(H138="","kein Signal","Trade"))</f>
        <v/>
      </c>
      <c r="O138" s="13" t="str">
        <f aca="false">IF(N138&lt;&gt;"Trade","",IF(M138="Short",D138,E138))</f>
        <v/>
      </c>
      <c r="P138" s="13" t="str">
        <f aca="false">IF(N138&lt;&gt;"Trade","",ABS(H138-O138))</f>
        <v/>
      </c>
      <c r="Q138" s="13" t="str">
        <f aca="false">IF(N138&lt;&gt;"Trade","",H138+IF(M138="Long",1,-1)*ZielR*P138)</f>
        <v/>
      </c>
      <c r="R138" s="13" t="str">
        <f aca="false">IF(OR(N138&lt;&gt;"Trade",I138=""),"",IF(I138="Ziel",Q138,IF(I138="Stop",O138,IF(J138="","",J138))))</f>
        <v/>
      </c>
      <c r="S138" s="13" t="str">
        <f aca="false">IF(R138="","",(R138-H138)*IF(M138="Long",1,-1)-2*Slippage)</f>
        <v/>
      </c>
      <c r="T138" s="14" t="str">
        <f aca="false">IF(OR(S138="",P138=0),"",S138/P138)</f>
        <v/>
      </c>
      <c r="U138" s="15" t="str">
        <f aca="false">IF(S138="","",S138*Punktwert*Kontrakte-Kommission*Kontrakte)</f>
        <v/>
      </c>
      <c r="V138" s="15" t="str">
        <f aca="false">IF(U138="","",SUM($U$5:U138))</f>
        <v/>
      </c>
      <c r="W138" s="15" t="str">
        <f aca="false">IF(V138="","",MAX(0,MAX($V$5:V138)))</f>
        <v/>
      </c>
      <c r="X138" s="15" t="str">
        <f aca="false">IF(V138="","",V138-W138)</f>
        <v/>
      </c>
      <c r="Y138" s="12" t="str">
        <f aca="false">IF(N138&lt;&gt;"Trade","",IF(P138=0,"Stop = Einstieg?",IF(I138="","Ergebnis eintragen",IF(AND(I138="Zeit",J138=""),"Kurs 11:30 fehlt",IF(OR(AND(M138="Short",H138&gt;F138),AND(M138="Long",H138&lt;G138)),"Einstieg prüfen","ok")))))</f>
        <v/>
      </c>
      <c r="Z138" s="16" t="str">
        <f aca="false">IF(A138="","",WEEKDAY(A138,2))</f>
        <v/>
      </c>
    </row>
    <row r="139" customFormat="false" ht="15" hidden="false" customHeight="false" outlineLevel="0" collapsed="false">
      <c r="A139" s="8"/>
      <c r="B139" s="9"/>
      <c r="C139" s="9"/>
      <c r="D139" s="9"/>
      <c r="E139" s="9"/>
      <c r="F139" s="9"/>
      <c r="G139" s="9"/>
      <c r="H139" s="9"/>
      <c r="I139" s="10"/>
      <c r="J139" s="9"/>
      <c r="K139" s="10"/>
      <c r="L139" s="11" t="str">
        <f aca="false">IF(OR(B139="",C139=""),"",(C139-B139)/B139)</f>
        <v/>
      </c>
      <c r="M139" s="12" t="str">
        <f aca="false">IF(L139="","",IF(ABS(L139)&lt;MinDrive,"kein Trade",IF(L139&gt;0,"Short","Long")))</f>
        <v/>
      </c>
      <c r="N139" s="12" t="str">
        <f aca="false">IF(OR(M139="",M139="kein Trade"),"",IF(H139="","kein Signal","Trade"))</f>
        <v/>
      </c>
      <c r="O139" s="13" t="str">
        <f aca="false">IF(N139&lt;&gt;"Trade","",IF(M139="Short",D139,E139))</f>
        <v/>
      </c>
      <c r="P139" s="13" t="str">
        <f aca="false">IF(N139&lt;&gt;"Trade","",ABS(H139-O139))</f>
        <v/>
      </c>
      <c r="Q139" s="13" t="str">
        <f aca="false">IF(N139&lt;&gt;"Trade","",H139+IF(M139="Long",1,-1)*ZielR*P139)</f>
        <v/>
      </c>
      <c r="R139" s="13" t="str">
        <f aca="false">IF(OR(N139&lt;&gt;"Trade",I139=""),"",IF(I139="Ziel",Q139,IF(I139="Stop",O139,IF(J139="","",J139))))</f>
        <v/>
      </c>
      <c r="S139" s="13" t="str">
        <f aca="false">IF(R139="","",(R139-H139)*IF(M139="Long",1,-1)-2*Slippage)</f>
        <v/>
      </c>
      <c r="T139" s="14" t="str">
        <f aca="false">IF(OR(S139="",P139=0),"",S139/P139)</f>
        <v/>
      </c>
      <c r="U139" s="15" t="str">
        <f aca="false">IF(S139="","",S139*Punktwert*Kontrakte-Kommission*Kontrakte)</f>
        <v/>
      </c>
      <c r="V139" s="15" t="str">
        <f aca="false">IF(U139="","",SUM($U$5:U139))</f>
        <v/>
      </c>
      <c r="W139" s="15" t="str">
        <f aca="false">IF(V139="","",MAX(0,MAX($V$5:V139)))</f>
        <v/>
      </c>
      <c r="X139" s="15" t="str">
        <f aca="false">IF(V139="","",V139-W139)</f>
        <v/>
      </c>
      <c r="Y139" s="12" t="str">
        <f aca="false">IF(N139&lt;&gt;"Trade","",IF(P139=0,"Stop = Einstieg?",IF(I139="","Ergebnis eintragen",IF(AND(I139="Zeit",J139=""),"Kurs 11:30 fehlt",IF(OR(AND(M139="Short",H139&gt;F139),AND(M139="Long",H139&lt;G139)),"Einstieg prüfen","ok")))))</f>
        <v/>
      </c>
      <c r="Z139" s="16" t="str">
        <f aca="false">IF(A139="","",WEEKDAY(A139,2))</f>
        <v/>
      </c>
    </row>
    <row r="140" customFormat="false" ht="15" hidden="false" customHeight="false" outlineLevel="0" collapsed="false">
      <c r="A140" s="8"/>
      <c r="B140" s="9"/>
      <c r="C140" s="9"/>
      <c r="D140" s="9"/>
      <c r="E140" s="9"/>
      <c r="F140" s="9"/>
      <c r="G140" s="9"/>
      <c r="H140" s="9"/>
      <c r="I140" s="10"/>
      <c r="J140" s="9"/>
      <c r="K140" s="10"/>
      <c r="L140" s="11" t="str">
        <f aca="false">IF(OR(B140="",C140=""),"",(C140-B140)/B140)</f>
        <v/>
      </c>
      <c r="M140" s="12" t="str">
        <f aca="false">IF(L140="","",IF(ABS(L140)&lt;MinDrive,"kein Trade",IF(L140&gt;0,"Short","Long")))</f>
        <v/>
      </c>
      <c r="N140" s="12" t="str">
        <f aca="false">IF(OR(M140="",M140="kein Trade"),"",IF(H140="","kein Signal","Trade"))</f>
        <v/>
      </c>
      <c r="O140" s="13" t="str">
        <f aca="false">IF(N140&lt;&gt;"Trade","",IF(M140="Short",D140,E140))</f>
        <v/>
      </c>
      <c r="P140" s="13" t="str">
        <f aca="false">IF(N140&lt;&gt;"Trade","",ABS(H140-O140))</f>
        <v/>
      </c>
      <c r="Q140" s="13" t="str">
        <f aca="false">IF(N140&lt;&gt;"Trade","",H140+IF(M140="Long",1,-1)*ZielR*P140)</f>
        <v/>
      </c>
      <c r="R140" s="13" t="str">
        <f aca="false">IF(OR(N140&lt;&gt;"Trade",I140=""),"",IF(I140="Ziel",Q140,IF(I140="Stop",O140,IF(J140="","",J140))))</f>
        <v/>
      </c>
      <c r="S140" s="13" t="str">
        <f aca="false">IF(R140="","",(R140-H140)*IF(M140="Long",1,-1)-2*Slippage)</f>
        <v/>
      </c>
      <c r="T140" s="14" t="str">
        <f aca="false">IF(OR(S140="",P140=0),"",S140/P140)</f>
        <v/>
      </c>
      <c r="U140" s="15" t="str">
        <f aca="false">IF(S140="","",S140*Punktwert*Kontrakte-Kommission*Kontrakte)</f>
        <v/>
      </c>
      <c r="V140" s="15" t="str">
        <f aca="false">IF(U140="","",SUM($U$5:U140))</f>
        <v/>
      </c>
      <c r="W140" s="15" t="str">
        <f aca="false">IF(V140="","",MAX(0,MAX($V$5:V140)))</f>
        <v/>
      </c>
      <c r="X140" s="15" t="str">
        <f aca="false">IF(V140="","",V140-W140)</f>
        <v/>
      </c>
      <c r="Y140" s="12" t="str">
        <f aca="false">IF(N140&lt;&gt;"Trade","",IF(P140=0,"Stop = Einstieg?",IF(I140="","Ergebnis eintragen",IF(AND(I140="Zeit",J140=""),"Kurs 11:30 fehlt",IF(OR(AND(M140="Short",H140&gt;F140),AND(M140="Long",H140&lt;G140)),"Einstieg prüfen","ok")))))</f>
        <v/>
      </c>
      <c r="Z140" s="16" t="str">
        <f aca="false">IF(A140="","",WEEKDAY(A140,2))</f>
        <v/>
      </c>
    </row>
    <row r="141" customFormat="false" ht="15" hidden="false" customHeight="false" outlineLevel="0" collapsed="false">
      <c r="A141" s="8"/>
      <c r="B141" s="9"/>
      <c r="C141" s="9"/>
      <c r="D141" s="9"/>
      <c r="E141" s="9"/>
      <c r="F141" s="9"/>
      <c r="G141" s="9"/>
      <c r="H141" s="9"/>
      <c r="I141" s="10"/>
      <c r="J141" s="9"/>
      <c r="K141" s="10"/>
      <c r="L141" s="11" t="str">
        <f aca="false">IF(OR(B141="",C141=""),"",(C141-B141)/B141)</f>
        <v/>
      </c>
      <c r="M141" s="12" t="str">
        <f aca="false">IF(L141="","",IF(ABS(L141)&lt;MinDrive,"kein Trade",IF(L141&gt;0,"Short","Long")))</f>
        <v/>
      </c>
      <c r="N141" s="12" t="str">
        <f aca="false">IF(OR(M141="",M141="kein Trade"),"",IF(H141="","kein Signal","Trade"))</f>
        <v/>
      </c>
      <c r="O141" s="13" t="str">
        <f aca="false">IF(N141&lt;&gt;"Trade","",IF(M141="Short",D141,E141))</f>
        <v/>
      </c>
      <c r="P141" s="13" t="str">
        <f aca="false">IF(N141&lt;&gt;"Trade","",ABS(H141-O141))</f>
        <v/>
      </c>
      <c r="Q141" s="13" t="str">
        <f aca="false">IF(N141&lt;&gt;"Trade","",H141+IF(M141="Long",1,-1)*ZielR*P141)</f>
        <v/>
      </c>
      <c r="R141" s="13" t="str">
        <f aca="false">IF(OR(N141&lt;&gt;"Trade",I141=""),"",IF(I141="Ziel",Q141,IF(I141="Stop",O141,IF(J141="","",J141))))</f>
        <v/>
      </c>
      <c r="S141" s="13" t="str">
        <f aca="false">IF(R141="","",(R141-H141)*IF(M141="Long",1,-1)-2*Slippage)</f>
        <v/>
      </c>
      <c r="T141" s="14" t="str">
        <f aca="false">IF(OR(S141="",P141=0),"",S141/P141)</f>
        <v/>
      </c>
      <c r="U141" s="15" t="str">
        <f aca="false">IF(S141="","",S141*Punktwert*Kontrakte-Kommission*Kontrakte)</f>
        <v/>
      </c>
      <c r="V141" s="15" t="str">
        <f aca="false">IF(U141="","",SUM($U$5:U141))</f>
        <v/>
      </c>
      <c r="W141" s="15" t="str">
        <f aca="false">IF(V141="","",MAX(0,MAX($V$5:V141)))</f>
        <v/>
      </c>
      <c r="X141" s="15" t="str">
        <f aca="false">IF(V141="","",V141-W141)</f>
        <v/>
      </c>
      <c r="Y141" s="12" t="str">
        <f aca="false">IF(N141&lt;&gt;"Trade","",IF(P141=0,"Stop = Einstieg?",IF(I141="","Ergebnis eintragen",IF(AND(I141="Zeit",J141=""),"Kurs 11:30 fehlt",IF(OR(AND(M141="Short",H141&gt;F141),AND(M141="Long",H141&lt;G141)),"Einstieg prüfen","ok")))))</f>
        <v/>
      </c>
      <c r="Z141" s="16" t="str">
        <f aca="false">IF(A141="","",WEEKDAY(A141,2))</f>
        <v/>
      </c>
    </row>
    <row r="142" customFormat="false" ht="15" hidden="false" customHeight="false" outlineLevel="0" collapsed="false">
      <c r="A142" s="8"/>
      <c r="B142" s="9"/>
      <c r="C142" s="9"/>
      <c r="D142" s="9"/>
      <c r="E142" s="9"/>
      <c r="F142" s="9"/>
      <c r="G142" s="9"/>
      <c r="H142" s="9"/>
      <c r="I142" s="10"/>
      <c r="J142" s="9"/>
      <c r="K142" s="10"/>
      <c r="L142" s="11" t="str">
        <f aca="false">IF(OR(B142="",C142=""),"",(C142-B142)/B142)</f>
        <v/>
      </c>
      <c r="M142" s="12" t="str">
        <f aca="false">IF(L142="","",IF(ABS(L142)&lt;MinDrive,"kein Trade",IF(L142&gt;0,"Short","Long")))</f>
        <v/>
      </c>
      <c r="N142" s="12" t="str">
        <f aca="false">IF(OR(M142="",M142="kein Trade"),"",IF(H142="","kein Signal","Trade"))</f>
        <v/>
      </c>
      <c r="O142" s="13" t="str">
        <f aca="false">IF(N142&lt;&gt;"Trade","",IF(M142="Short",D142,E142))</f>
        <v/>
      </c>
      <c r="P142" s="13" t="str">
        <f aca="false">IF(N142&lt;&gt;"Trade","",ABS(H142-O142))</f>
        <v/>
      </c>
      <c r="Q142" s="13" t="str">
        <f aca="false">IF(N142&lt;&gt;"Trade","",H142+IF(M142="Long",1,-1)*ZielR*P142)</f>
        <v/>
      </c>
      <c r="R142" s="13" t="str">
        <f aca="false">IF(OR(N142&lt;&gt;"Trade",I142=""),"",IF(I142="Ziel",Q142,IF(I142="Stop",O142,IF(J142="","",J142))))</f>
        <v/>
      </c>
      <c r="S142" s="13" t="str">
        <f aca="false">IF(R142="","",(R142-H142)*IF(M142="Long",1,-1)-2*Slippage)</f>
        <v/>
      </c>
      <c r="T142" s="14" t="str">
        <f aca="false">IF(OR(S142="",P142=0),"",S142/P142)</f>
        <v/>
      </c>
      <c r="U142" s="15" t="str">
        <f aca="false">IF(S142="","",S142*Punktwert*Kontrakte-Kommission*Kontrakte)</f>
        <v/>
      </c>
      <c r="V142" s="15" t="str">
        <f aca="false">IF(U142="","",SUM($U$5:U142))</f>
        <v/>
      </c>
      <c r="W142" s="15" t="str">
        <f aca="false">IF(V142="","",MAX(0,MAX($V$5:V142)))</f>
        <v/>
      </c>
      <c r="X142" s="15" t="str">
        <f aca="false">IF(V142="","",V142-W142)</f>
        <v/>
      </c>
      <c r="Y142" s="12" t="str">
        <f aca="false">IF(N142&lt;&gt;"Trade","",IF(P142=0,"Stop = Einstieg?",IF(I142="","Ergebnis eintragen",IF(AND(I142="Zeit",J142=""),"Kurs 11:30 fehlt",IF(OR(AND(M142="Short",H142&gt;F142),AND(M142="Long",H142&lt;G142)),"Einstieg prüfen","ok")))))</f>
        <v/>
      </c>
      <c r="Z142" s="16" t="str">
        <f aca="false">IF(A142="","",WEEKDAY(A142,2))</f>
        <v/>
      </c>
    </row>
    <row r="143" customFormat="false" ht="15" hidden="false" customHeight="false" outlineLevel="0" collapsed="false">
      <c r="A143" s="8"/>
      <c r="B143" s="9"/>
      <c r="C143" s="9"/>
      <c r="D143" s="9"/>
      <c r="E143" s="9"/>
      <c r="F143" s="9"/>
      <c r="G143" s="9"/>
      <c r="H143" s="9"/>
      <c r="I143" s="10"/>
      <c r="J143" s="9"/>
      <c r="K143" s="10"/>
      <c r="L143" s="11" t="str">
        <f aca="false">IF(OR(B143="",C143=""),"",(C143-B143)/B143)</f>
        <v/>
      </c>
      <c r="M143" s="12" t="str">
        <f aca="false">IF(L143="","",IF(ABS(L143)&lt;MinDrive,"kein Trade",IF(L143&gt;0,"Short","Long")))</f>
        <v/>
      </c>
      <c r="N143" s="12" t="str">
        <f aca="false">IF(OR(M143="",M143="kein Trade"),"",IF(H143="","kein Signal","Trade"))</f>
        <v/>
      </c>
      <c r="O143" s="13" t="str">
        <f aca="false">IF(N143&lt;&gt;"Trade","",IF(M143="Short",D143,E143))</f>
        <v/>
      </c>
      <c r="P143" s="13" t="str">
        <f aca="false">IF(N143&lt;&gt;"Trade","",ABS(H143-O143))</f>
        <v/>
      </c>
      <c r="Q143" s="13" t="str">
        <f aca="false">IF(N143&lt;&gt;"Trade","",H143+IF(M143="Long",1,-1)*ZielR*P143)</f>
        <v/>
      </c>
      <c r="R143" s="13" t="str">
        <f aca="false">IF(OR(N143&lt;&gt;"Trade",I143=""),"",IF(I143="Ziel",Q143,IF(I143="Stop",O143,IF(J143="","",J143))))</f>
        <v/>
      </c>
      <c r="S143" s="13" t="str">
        <f aca="false">IF(R143="","",(R143-H143)*IF(M143="Long",1,-1)-2*Slippage)</f>
        <v/>
      </c>
      <c r="T143" s="14" t="str">
        <f aca="false">IF(OR(S143="",P143=0),"",S143/P143)</f>
        <v/>
      </c>
      <c r="U143" s="15" t="str">
        <f aca="false">IF(S143="","",S143*Punktwert*Kontrakte-Kommission*Kontrakte)</f>
        <v/>
      </c>
      <c r="V143" s="15" t="str">
        <f aca="false">IF(U143="","",SUM($U$5:U143))</f>
        <v/>
      </c>
      <c r="W143" s="15" t="str">
        <f aca="false">IF(V143="","",MAX(0,MAX($V$5:V143)))</f>
        <v/>
      </c>
      <c r="X143" s="15" t="str">
        <f aca="false">IF(V143="","",V143-W143)</f>
        <v/>
      </c>
      <c r="Y143" s="12" t="str">
        <f aca="false">IF(N143&lt;&gt;"Trade","",IF(P143=0,"Stop = Einstieg?",IF(I143="","Ergebnis eintragen",IF(AND(I143="Zeit",J143=""),"Kurs 11:30 fehlt",IF(OR(AND(M143="Short",H143&gt;F143),AND(M143="Long",H143&lt;G143)),"Einstieg prüfen","ok")))))</f>
        <v/>
      </c>
      <c r="Z143" s="16" t="str">
        <f aca="false">IF(A143="","",WEEKDAY(A143,2))</f>
        <v/>
      </c>
    </row>
    <row r="144" customFormat="false" ht="15" hidden="false" customHeight="false" outlineLevel="0" collapsed="false">
      <c r="A144" s="8"/>
      <c r="B144" s="9"/>
      <c r="C144" s="9"/>
      <c r="D144" s="9"/>
      <c r="E144" s="9"/>
      <c r="F144" s="9"/>
      <c r="G144" s="9"/>
      <c r="H144" s="9"/>
      <c r="I144" s="10"/>
      <c r="J144" s="9"/>
      <c r="K144" s="10"/>
      <c r="L144" s="11" t="str">
        <f aca="false">IF(OR(B144="",C144=""),"",(C144-B144)/B144)</f>
        <v/>
      </c>
      <c r="M144" s="12" t="str">
        <f aca="false">IF(L144="","",IF(ABS(L144)&lt;MinDrive,"kein Trade",IF(L144&gt;0,"Short","Long")))</f>
        <v/>
      </c>
      <c r="N144" s="12" t="str">
        <f aca="false">IF(OR(M144="",M144="kein Trade"),"",IF(H144="","kein Signal","Trade"))</f>
        <v/>
      </c>
      <c r="O144" s="13" t="str">
        <f aca="false">IF(N144&lt;&gt;"Trade","",IF(M144="Short",D144,E144))</f>
        <v/>
      </c>
      <c r="P144" s="13" t="str">
        <f aca="false">IF(N144&lt;&gt;"Trade","",ABS(H144-O144))</f>
        <v/>
      </c>
      <c r="Q144" s="13" t="str">
        <f aca="false">IF(N144&lt;&gt;"Trade","",H144+IF(M144="Long",1,-1)*ZielR*P144)</f>
        <v/>
      </c>
      <c r="R144" s="13" t="str">
        <f aca="false">IF(OR(N144&lt;&gt;"Trade",I144=""),"",IF(I144="Ziel",Q144,IF(I144="Stop",O144,IF(J144="","",J144))))</f>
        <v/>
      </c>
      <c r="S144" s="13" t="str">
        <f aca="false">IF(R144="","",(R144-H144)*IF(M144="Long",1,-1)-2*Slippage)</f>
        <v/>
      </c>
      <c r="T144" s="14" t="str">
        <f aca="false">IF(OR(S144="",P144=0),"",S144/P144)</f>
        <v/>
      </c>
      <c r="U144" s="15" t="str">
        <f aca="false">IF(S144="","",S144*Punktwert*Kontrakte-Kommission*Kontrakte)</f>
        <v/>
      </c>
      <c r="V144" s="15" t="str">
        <f aca="false">IF(U144="","",SUM($U$5:U144))</f>
        <v/>
      </c>
      <c r="W144" s="15" t="str">
        <f aca="false">IF(V144="","",MAX(0,MAX($V$5:V144)))</f>
        <v/>
      </c>
      <c r="X144" s="15" t="str">
        <f aca="false">IF(V144="","",V144-W144)</f>
        <v/>
      </c>
      <c r="Y144" s="12" t="str">
        <f aca="false">IF(N144&lt;&gt;"Trade","",IF(P144=0,"Stop = Einstieg?",IF(I144="","Ergebnis eintragen",IF(AND(I144="Zeit",J144=""),"Kurs 11:30 fehlt",IF(OR(AND(M144="Short",H144&gt;F144),AND(M144="Long",H144&lt;G144)),"Einstieg prüfen","ok")))))</f>
        <v/>
      </c>
      <c r="Z144" s="16" t="str">
        <f aca="false">IF(A144="","",WEEKDAY(A144,2))</f>
        <v/>
      </c>
    </row>
    <row r="145" customFormat="false" ht="15" hidden="false" customHeight="false" outlineLevel="0" collapsed="false">
      <c r="A145" s="8"/>
      <c r="B145" s="9"/>
      <c r="C145" s="9"/>
      <c r="D145" s="9"/>
      <c r="E145" s="9"/>
      <c r="F145" s="9"/>
      <c r="G145" s="9"/>
      <c r="H145" s="9"/>
      <c r="I145" s="10"/>
      <c r="J145" s="9"/>
      <c r="K145" s="10"/>
      <c r="L145" s="11" t="str">
        <f aca="false">IF(OR(B145="",C145=""),"",(C145-B145)/B145)</f>
        <v/>
      </c>
      <c r="M145" s="12" t="str">
        <f aca="false">IF(L145="","",IF(ABS(L145)&lt;MinDrive,"kein Trade",IF(L145&gt;0,"Short","Long")))</f>
        <v/>
      </c>
      <c r="N145" s="12" t="str">
        <f aca="false">IF(OR(M145="",M145="kein Trade"),"",IF(H145="","kein Signal","Trade"))</f>
        <v/>
      </c>
      <c r="O145" s="13" t="str">
        <f aca="false">IF(N145&lt;&gt;"Trade","",IF(M145="Short",D145,E145))</f>
        <v/>
      </c>
      <c r="P145" s="13" t="str">
        <f aca="false">IF(N145&lt;&gt;"Trade","",ABS(H145-O145))</f>
        <v/>
      </c>
      <c r="Q145" s="13" t="str">
        <f aca="false">IF(N145&lt;&gt;"Trade","",H145+IF(M145="Long",1,-1)*ZielR*P145)</f>
        <v/>
      </c>
      <c r="R145" s="13" t="str">
        <f aca="false">IF(OR(N145&lt;&gt;"Trade",I145=""),"",IF(I145="Ziel",Q145,IF(I145="Stop",O145,IF(J145="","",J145))))</f>
        <v/>
      </c>
      <c r="S145" s="13" t="str">
        <f aca="false">IF(R145="","",(R145-H145)*IF(M145="Long",1,-1)-2*Slippage)</f>
        <v/>
      </c>
      <c r="T145" s="14" t="str">
        <f aca="false">IF(OR(S145="",P145=0),"",S145/P145)</f>
        <v/>
      </c>
      <c r="U145" s="15" t="str">
        <f aca="false">IF(S145="","",S145*Punktwert*Kontrakte-Kommission*Kontrakte)</f>
        <v/>
      </c>
      <c r="V145" s="15" t="str">
        <f aca="false">IF(U145="","",SUM($U$5:U145))</f>
        <v/>
      </c>
      <c r="W145" s="15" t="str">
        <f aca="false">IF(V145="","",MAX(0,MAX($V$5:V145)))</f>
        <v/>
      </c>
      <c r="X145" s="15" t="str">
        <f aca="false">IF(V145="","",V145-W145)</f>
        <v/>
      </c>
      <c r="Y145" s="12" t="str">
        <f aca="false">IF(N145&lt;&gt;"Trade","",IF(P145=0,"Stop = Einstieg?",IF(I145="","Ergebnis eintragen",IF(AND(I145="Zeit",J145=""),"Kurs 11:30 fehlt",IF(OR(AND(M145="Short",H145&gt;F145),AND(M145="Long",H145&lt;G145)),"Einstieg prüfen","ok")))))</f>
        <v/>
      </c>
      <c r="Z145" s="16" t="str">
        <f aca="false">IF(A145="","",WEEKDAY(A145,2))</f>
        <v/>
      </c>
    </row>
    <row r="146" customFormat="false" ht="15" hidden="false" customHeight="false" outlineLevel="0" collapsed="false">
      <c r="A146" s="8"/>
      <c r="B146" s="9"/>
      <c r="C146" s="9"/>
      <c r="D146" s="9"/>
      <c r="E146" s="9"/>
      <c r="F146" s="9"/>
      <c r="G146" s="9"/>
      <c r="H146" s="9"/>
      <c r="I146" s="10"/>
      <c r="J146" s="9"/>
      <c r="K146" s="10"/>
      <c r="L146" s="11" t="str">
        <f aca="false">IF(OR(B146="",C146=""),"",(C146-B146)/B146)</f>
        <v/>
      </c>
      <c r="M146" s="12" t="str">
        <f aca="false">IF(L146="","",IF(ABS(L146)&lt;MinDrive,"kein Trade",IF(L146&gt;0,"Short","Long")))</f>
        <v/>
      </c>
      <c r="N146" s="12" t="str">
        <f aca="false">IF(OR(M146="",M146="kein Trade"),"",IF(H146="","kein Signal","Trade"))</f>
        <v/>
      </c>
      <c r="O146" s="13" t="str">
        <f aca="false">IF(N146&lt;&gt;"Trade","",IF(M146="Short",D146,E146))</f>
        <v/>
      </c>
      <c r="P146" s="13" t="str">
        <f aca="false">IF(N146&lt;&gt;"Trade","",ABS(H146-O146))</f>
        <v/>
      </c>
      <c r="Q146" s="13" t="str">
        <f aca="false">IF(N146&lt;&gt;"Trade","",H146+IF(M146="Long",1,-1)*ZielR*P146)</f>
        <v/>
      </c>
      <c r="R146" s="13" t="str">
        <f aca="false">IF(OR(N146&lt;&gt;"Trade",I146=""),"",IF(I146="Ziel",Q146,IF(I146="Stop",O146,IF(J146="","",J146))))</f>
        <v/>
      </c>
      <c r="S146" s="13" t="str">
        <f aca="false">IF(R146="","",(R146-H146)*IF(M146="Long",1,-1)-2*Slippage)</f>
        <v/>
      </c>
      <c r="T146" s="14" t="str">
        <f aca="false">IF(OR(S146="",P146=0),"",S146/P146)</f>
        <v/>
      </c>
      <c r="U146" s="15" t="str">
        <f aca="false">IF(S146="","",S146*Punktwert*Kontrakte-Kommission*Kontrakte)</f>
        <v/>
      </c>
      <c r="V146" s="15" t="str">
        <f aca="false">IF(U146="","",SUM($U$5:U146))</f>
        <v/>
      </c>
      <c r="W146" s="15" t="str">
        <f aca="false">IF(V146="","",MAX(0,MAX($V$5:V146)))</f>
        <v/>
      </c>
      <c r="X146" s="15" t="str">
        <f aca="false">IF(V146="","",V146-W146)</f>
        <v/>
      </c>
      <c r="Y146" s="12" t="str">
        <f aca="false">IF(N146&lt;&gt;"Trade","",IF(P146=0,"Stop = Einstieg?",IF(I146="","Ergebnis eintragen",IF(AND(I146="Zeit",J146=""),"Kurs 11:30 fehlt",IF(OR(AND(M146="Short",H146&gt;F146),AND(M146="Long",H146&lt;G146)),"Einstieg prüfen","ok")))))</f>
        <v/>
      </c>
      <c r="Z146" s="16" t="str">
        <f aca="false">IF(A146="","",WEEKDAY(A146,2))</f>
        <v/>
      </c>
    </row>
    <row r="147" customFormat="false" ht="15" hidden="false" customHeight="false" outlineLevel="0" collapsed="false">
      <c r="A147" s="8"/>
      <c r="B147" s="9"/>
      <c r="C147" s="9"/>
      <c r="D147" s="9"/>
      <c r="E147" s="9"/>
      <c r="F147" s="9"/>
      <c r="G147" s="9"/>
      <c r="H147" s="9"/>
      <c r="I147" s="10"/>
      <c r="J147" s="9"/>
      <c r="K147" s="10"/>
      <c r="L147" s="11" t="str">
        <f aca="false">IF(OR(B147="",C147=""),"",(C147-B147)/B147)</f>
        <v/>
      </c>
      <c r="M147" s="12" t="str">
        <f aca="false">IF(L147="","",IF(ABS(L147)&lt;MinDrive,"kein Trade",IF(L147&gt;0,"Short","Long")))</f>
        <v/>
      </c>
      <c r="N147" s="12" t="str">
        <f aca="false">IF(OR(M147="",M147="kein Trade"),"",IF(H147="","kein Signal","Trade"))</f>
        <v/>
      </c>
      <c r="O147" s="13" t="str">
        <f aca="false">IF(N147&lt;&gt;"Trade","",IF(M147="Short",D147,E147))</f>
        <v/>
      </c>
      <c r="P147" s="13" t="str">
        <f aca="false">IF(N147&lt;&gt;"Trade","",ABS(H147-O147))</f>
        <v/>
      </c>
      <c r="Q147" s="13" t="str">
        <f aca="false">IF(N147&lt;&gt;"Trade","",H147+IF(M147="Long",1,-1)*ZielR*P147)</f>
        <v/>
      </c>
      <c r="R147" s="13" t="str">
        <f aca="false">IF(OR(N147&lt;&gt;"Trade",I147=""),"",IF(I147="Ziel",Q147,IF(I147="Stop",O147,IF(J147="","",J147))))</f>
        <v/>
      </c>
      <c r="S147" s="13" t="str">
        <f aca="false">IF(R147="","",(R147-H147)*IF(M147="Long",1,-1)-2*Slippage)</f>
        <v/>
      </c>
      <c r="T147" s="14" t="str">
        <f aca="false">IF(OR(S147="",P147=0),"",S147/P147)</f>
        <v/>
      </c>
      <c r="U147" s="15" t="str">
        <f aca="false">IF(S147="","",S147*Punktwert*Kontrakte-Kommission*Kontrakte)</f>
        <v/>
      </c>
      <c r="V147" s="15" t="str">
        <f aca="false">IF(U147="","",SUM($U$5:U147))</f>
        <v/>
      </c>
      <c r="W147" s="15" t="str">
        <f aca="false">IF(V147="","",MAX(0,MAX($V$5:V147)))</f>
        <v/>
      </c>
      <c r="X147" s="15" t="str">
        <f aca="false">IF(V147="","",V147-W147)</f>
        <v/>
      </c>
      <c r="Y147" s="12" t="str">
        <f aca="false">IF(N147&lt;&gt;"Trade","",IF(P147=0,"Stop = Einstieg?",IF(I147="","Ergebnis eintragen",IF(AND(I147="Zeit",J147=""),"Kurs 11:30 fehlt",IF(OR(AND(M147="Short",H147&gt;F147),AND(M147="Long",H147&lt;G147)),"Einstieg prüfen","ok")))))</f>
        <v/>
      </c>
      <c r="Z147" s="16" t="str">
        <f aca="false">IF(A147="","",WEEKDAY(A147,2))</f>
        <v/>
      </c>
    </row>
    <row r="148" customFormat="false" ht="15" hidden="false" customHeight="false" outlineLevel="0" collapsed="false">
      <c r="A148" s="8"/>
      <c r="B148" s="9"/>
      <c r="C148" s="9"/>
      <c r="D148" s="9"/>
      <c r="E148" s="9"/>
      <c r="F148" s="9"/>
      <c r="G148" s="9"/>
      <c r="H148" s="9"/>
      <c r="I148" s="10"/>
      <c r="J148" s="9"/>
      <c r="K148" s="10"/>
      <c r="L148" s="11" t="str">
        <f aca="false">IF(OR(B148="",C148=""),"",(C148-B148)/B148)</f>
        <v/>
      </c>
      <c r="M148" s="12" t="str">
        <f aca="false">IF(L148="","",IF(ABS(L148)&lt;MinDrive,"kein Trade",IF(L148&gt;0,"Short","Long")))</f>
        <v/>
      </c>
      <c r="N148" s="12" t="str">
        <f aca="false">IF(OR(M148="",M148="kein Trade"),"",IF(H148="","kein Signal","Trade"))</f>
        <v/>
      </c>
      <c r="O148" s="13" t="str">
        <f aca="false">IF(N148&lt;&gt;"Trade","",IF(M148="Short",D148,E148))</f>
        <v/>
      </c>
      <c r="P148" s="13" t="str">
        <f aca="false">IF(N148&lt;&gt;"Trade","",ABS(H148-O148))</f>
        <v/>
      </c>
      <c r="Q148" s="13" t="str">
        <f aca="false">IF(N148&lt;&gt;"Trade","",H148+IF(M148="Long",1,-1)*ZielR*P148)</f>
        <v/>
      </c>
      <c r="R148" s="13" t="str">
        <f aca="false">IF(OR(N148&lt;&gt;"Trade",I148=""),"",IF(I148="Ziel",Q148,IF(I148="Stop",O148,IF(J148="","",J148))))</f>
        <v/>
      </c>
      <c r="S148" s="13" t="str">
        <f aca="false">IF(R148="","",(R148-H148)*IF(M148="Long",1,-1)-2*Slippage)</f>
        <v/>
      </c>
      <c r="T148" s="14" t="str">
        <f aca="false">IF(OR(S148="",P148=0),"",S148/P148)</f>
        <v/>
      </c>
      <c r="U148" s="15" t="str">
        <f aca="false">IF(S148="","",S148*Punktwert*Kontrakte-Kommission*Kontrakte)</f>
        <v/>
      </c>
      <c r="V148" s="15" t="str">
        <f aca="false">IF(U148="","",SUM($U$5:U148))</f>
        <v/>
      </c>
      <c r="W148" s="15" t="str">
        <f aca="false">IF(V148="","",MAX(0,MAX($V$5:V148)))</f>
        <v/>
      </c>
      <c r="X148" s="15" t="str">
        <f aca="false">IF(V148="","",V148-W148)</f>
        <v/>
      </c>
      <c r="Y148" s="12" t="str">
        <f aca="false">IF(N148&lt;&gt;"Trade","",IF(P148=0,"Stop = Einstieg?",IF(I148="","Ergebnis eintragen",IF(AND(I148="Zeit",J148=""),"Kurs 11:30 fehlt",IF(OR(AND(M148="Short",H148&gt;F148),AND(M148="Long",H148&lt;G148)),"Einstieg prüfen","ok")))))</f>
        <v/>
      </c>
      <c r="Z148" s="16" t="str">
        <f aca="false">IF(A148="","",WEEKDAY(A148,2))</f>
        <v/>
      </c>
    </row>
    <row r="149" customFormat="false" ht="15" hidden="false" customHeight="false" outlineLevel="0" collapsed="false">
      <c r="A149" s="8"/>
      <c r="B149" s="9"/>
      <c r="C149" s="9"/>
      <c r="D149" s="9"/>
      <c r="E149" s="9"/>
      <c r="F149" s="9"/>
      <c r="G149" s="9"/>
      <c r="H149" s="9"/>
      <c r="I149" s="10"/>
      <c r="J149" s="9"/>
      <c r="K149" s="10"/>
      <c r="L149" s="11" t="str">
        <f aca="false">IF(OR(B149="",C149=""),"",(C149-B149)/B149)</f>
        <v/>
      </c>
      <c r="M149" s="12" t="str">
        <f aca="false">IF(L149="","",IF(ABS(L149)&lt;MinDrive,"kein Trade",IF(L149&gt;0,"Short","Long")))</f>
        <v/>
      </c>
      <c r="N149" s="12" t="str">
        <f aca="false">IF(OR(M149="",M149="kein Trade"),"",IF(H149="","kein Signal","Trade"))</f>
        <v/>
      </c>
      <c r="O149" s="13" t="str">
        <f aca="false">IF(N149&lt;&gt;"Trade","",IF(M149="Short",D149,E149))</f>
        <v/>
      </c>
      <c r="P149" s="13" t="str">
        <f aca="false">IF(N149&lt;&gt;"Trade","",ABS(H149-O149))</f>
        <v/>
      </c>
      <c r="Q149" s="13" t="str">
        <f aca="false">IF(N149&lt;&gt;"Trade","",H149+IF(M149="Long",1,-1)*ZielR*P149)</f>
        <v/>
      </c>
      <c r="R149" s="13" t="str">
        <f aca="false">IF(OR(N149&lt;&gt;"Trade",I149=""),"",IF(I149="Ziel",Q149,IF(I149="Stop",O149,IF(J149="","",J149))))</f>
        <v/>
      </c>
      <c r="S149" s="13" t="str">
        <f aca="false">IF(R149="","",(R149-H149)*IF(M149="Long",1,-1)-2*Slippage)</f>
        <v/>
      </c>
      <c r="T149" s="14" t="str">
        <f aca="false">IF(OR(S149="",P149=0),"",S149/P149)</f>
        <v/>
      </c>
      <c r="U149" s="15" t="str">
        <f aca="false">IF(S149="","",S149*Punktwert*Kontrakte-Kommission*Kontrakte)</f>
        <v/>
      </c>
      <c r="V149" s="15" t="str">
        <f aca="false">IF(U149="","",SUM($U$5:U149))</f>
        <v/>
      </c>
      <c r="W149" s="15" t="str">
        <f aca="false">IF(V149="","",MAX(0,MAX($V$5:V149)))</f>
        <v/>
      </c>
      <c r="X149" s="15" t="str">
        <f aca="false">IF(V149="","",V149-W149)</f>
        <v/>
      </c>
      <c r="Y149" s="12" t="str">
        <f aca="false">IF(N149&lt;&gt;"Trade","",IF(P149=0,"Stop = Einstieg?",IF(I149="","Ergebnis eintragen",IF(AND(I149="Zeit",J149=""),"Kurs 11:30 fehlt",IF(OR(AND(M149="Short",H149&gt;F149),AND(M149="Long",H149&lt;G149)),"Einstieg prüfen","ok")))))</f>
        <v/>
      </c>
      <c r="Z149" s="16" t="str">
        <f aca="false">IF(A149="","",WEEKDAY(A149,2))</f>
        <v/>
      </c>
    </row>
    <row r="150" customFormat="false" ht="15" hidden="false" customHeight="false" outlineLevel="0" collapsed="false">
      <c r="A150" s="8"/>
      <c r="B150" s="9"/>
      <c r="C150" s="9"/>
      <c r="D150" s="9"/>
      <c r="E150" s="9"/>
      <c r="F150" s="9"/>
      <c r="G150" s="9"/>
      <c r="H150" s="9"/>
      <c r="I150" s="10"/>
      <c r="J150" s="9"/>
      <c r="K150" s="10"/>
      <c r="L150" s="11" t="str">
        <f aca="false">IF(OR(B150="",C150=""),"",(C150-B150)/B150)</f>
        <v/>
      </c>
      <c r="M150" s="12" t="str">
        <f aca="false">IF(L150="","",IF(ABS(L150)&lt;MinDrive,"kein Trade",IF(L150&gt;0,"Short","Long")))</f>
        <v/>
      </c>
      <c r="N150" s="12" t="str">
        <f aca="false">IF(OR(M150="",M150="kein Trade"),"",IF(H150="","kein Signal","Trade"))</f>
        <v/>
      </c>
      <c r="O150" s="13" t="str">
        <f aca="false">IF(N150&lt;&gt;"Trade","",IF(M150="Short",D150,E150))</f>
        <v/>
      </c>
      <c r="P150" s="13" t="str">
        <f aca="false">IF(N150&lt;&gt;"Trade","",ABS(H150-O150))</f>
        <v/>
      </c>
      <c r="Q150" s="13" t="str">
        <f aca="false">IF(N150&lt;&gt;"Trade","",H150+IF(M150="Long",1,-1)*ZielR*P150)</f>
        <v/>
      </c>
      <c r="R150" s="13" t="str">
        <f aca="false">IF(OR(N150&lt;&gt;"Trade",I150=""),"",IF(I150="Ziel",Q150,IF(I150="Stop",O150,IF(J150="","",J150))))</f>
        <v/>
      </c>
      <c r="S150" s="13" t="str">
        <f aca="false">IF(R150="","",(R150-H150)*IF(M150="Long",1,-1)-2*Slippage)</f>
        <v/>
      </c>
      <c r="T150" s="14" t="str">
        <f aca="false">IF(OR(S150="",P150=0),"",S150/P150)</f>
        <v/>
      </c>
      <c r="U150" s="15" t="str">
        <f aca="false">IF(S150="","",S150*Punktwert*Kontrakte-Kommission*Kontrakte)</f>
        <v/>
      </c>
      <c r="V150" s="15" t="str">
        <f aca="false">IF(U150="","",SUM($U$5:U150))</f>
        <v/>
      </c>
      <c r="W150" s="15" t="str">
        <f aca="false">IF(V150="","",MAX(0,MAX($V$5:V150)))</f>
        <v/>
      </c>
      <c r="X150" s="15" t="str">
        <f aca="false">IF(V150="","",V150-W150)</f>
        <v/>
      </c>
      <c r="Y150" s="12" t="str">
        <f aca="false">IF(N150&lt;&gt;"Trade","",IF(P150=0,"Stop = Einstieg?",IF(I150="","Ergebnis eintragen",IF(AND(I150="Zeit",J150=""),"Kurs 11:30 fehlt",IF(OR(AND(M150="Short",H150&gt;F150),AND(M150="Long",H150&lt;G150)),"Einstieg prüfen","ok")))))</f>
        <v/>
      </c>
      <c r="Z150" s="16" t="str">
        <f aca="false">IF(A150="","",WEEKDAY(A150,2))</f>
        <v/>
      </c>
    </row>
    <row r="151" customFormat="false" ht="15" hidden="false" customHeight="false" outlineLevel="0" collapsed="false">
      <c r="A151" s="8"/>
      <c r="B151" s="9"/>
      <c r="C151" s="9"/>
      <c r="D151" s="9"/>
      <c r="E151" s="9"/>
      <c r="F151" s="9"/>
      <c r="G151" s="9"/>
      <c r="H151" s="9"/>
      <c r="I151" s="10"/>
      <c r="J151" s="9"/>
      <c r="K151" s="10"/>
      <c r="L151" s="11" t="str">
        <f aca="false">IF(OR(B151="",C151=""),"",(C151-B151)/B151)</f>
        <v/>
      </c>
      <c r="M151" s="12" t="str">
        <f aca="false">IF(L151="","",IF(ABS(L151)&lt;MinDrive,"kein Trade",IF(L151&gt;0,"Short","Long")))</f>
        <v/>
      </c>
      <c r="N151" s="12" t="str">
        <f aca="false">IF(OR(M151="",M151="kein Trade"),"",IF(H151="","kein Signal","Trade"))</f>
        <v/>
      </c>
      <c r="O151" s="13" t="str">
        <f aca="false">IF(N151&lt;&gt;"Trade","",IF(M151="Short",D151,E151))</f>
        <v/>
      </c>
      <c r="P151" s="13" t="str">
        <f aca="false">IF(N151&lt;&gt;"Trade","",ABS(H151-O151))</f>
        <v/>
      </c>
      <c r="Q151" s="13" t="str">
        <f aca="false">IF(N151&lt;&gt;"Trade","",H151+IF(M151="Long",1,-1)*ZielR*P151)</f>
        <v/>
      </c>
      <c r="R151" s="13" t="str">
        <f aca="false">IF(OR(N151&lt;&gt;"Trade",I151=""),"",IF(I151="Ziel",Q151,IF(I151="Stop",O151,IF(J151="","",J151))))</f>
        <v/>
      </c>
      <c r="S151" s="13" t="str">
        <f aca="false">IF(R151="","",(R151-H151)*IF(M151="Long",1,-1)-2*Slippage)</f>
        <v/>
      </c>
      <c r="T151" s="14" t="str">
        <f aca="false">IF(OR(S151="",P151=0),"",S151/P151)</f>
        <v/>
      </c>
      <c r="U151" s="15" t="str">
        <f aca="false">IF(S151="","",S151*Punktwert*Kontrakte-Kommission*Kontrakte)</f>
        <v/>
      </c>
      <c r="V151" s="15" t="str">
        <f aca="false">IF(U151="","",SUM($U$5:U151))</f>
        <v/>
      </c>
      <c r="W151" s="15" t="str">
        <f aca="false">IF(V151="","",MAX(0,MAX($V$5:V151)))</f>
        <v/>
      </c>
      <c r="X151" s="15" t="str">
        <f aca="false">IF(V151="","",V151-W151)</f>
        <v/>
      </c>
      <c r="Y151" s="12" t="str">
        <f aca="false">IF(N151&lt;&gt;"Trade","",IF(P151=0,"Stop = Einstieg?",IF(I151="","Ergebnis eintragen",IF(AND(I151="Zeit",J151=""),"Kurs 11:30 fehlt",IF(OR(AND(M151="Short",H151&gt;F151),AND(M151="Long",H151&lt;G151)),"Einstieg prüfen","ok")))))</f>
        <v/>
      </c>
      <c r="Z151" s="16" t="str">
        <f aca="false">IF(A151="","",WEEKDAY(A151,2))</f>
        <v/>
      </c>
    </row>
    <row r="152" customFormat="false" ht="15" hidden="false" customHeight="false" outlineLevel="0" collapsed="false">
      <c r="A152" s="8"/>
      <c r="B152" s="9"/>
      <c r="C152" s="9"/>
      <c r="D152" s="9"/>
      <c r="E152" s="9"/>
      <c r="F152" s="9"/>
      <c r="G152" s="9"/>
      <c r="H152" s="9"/>
      <c r="I152" s="10"/>
      <c r="J152" s="9"/>
      <c r="K152" s="10"/>
      <c r="L152" s="11" t="str">
        <f aca="false">IF(OR(B152="",C152=""),"",(C152-B152)/B152)</f>
        <v/>
      </c>
      <c r="M152" s="12" t="str">
        <f aca="false">IF(L152="","",IF(ABS(L152)&lt;MinDrive,"kein Trade",IF(L152&gt;0,"Short","Long")))</f>
        <v/>
      </c>
      <c r="N152" s="12" t="str">
        <f aca="false">IF(OR(M152="",M152="kein Trade"),"",IF(H152="","kein Signal","Trade"))</f>
        <v/>
      </c>
      <c r="O152" s="13" t="str">
        <f aca="false">IF(N152&lt;&gt;"Trade","",IF(M152="Short",D152,E152))</f>
        <v/>
      </c>
      <c r="P152" s="13" t="str">
        <f aca="false">IF(N152&lt;&gt;"Trade","",ABS(H152-O152))</f>
        <v/>
      </c>
      <c r="Q152" s="13" t="str">
        <f aca="false">IF(N152&lt;&gt;"Trade","",H152+IF(M152="Long",1,-1)*ZielR*P152)</f>
        <v/>
      </c>
      <c r="R152" s="13" t="str">
        <f aca="false">IF(OR(N152&lt;&gt;"Trade",I152=""),"",IF(I152="Ziel",Q152,IF(I152="Stop",O152,IF(J152="","",J152))))</f>
        <v/>
      </c>
      <c r="S152" s="13" t="str">
        <f aca="false">IF(R152="","",(R152-H152)*IF(M152="Long",1,-1)-2*Slippage)</f>
        <v/>
      </c>
      <c r="T152" s="14" t="str">
        <f aca="false">IF(OR(S152="",P152=0),"",S152/P152)</f>
        <v/>
      </c>
      <c r="U152" s="15" t="str">
        <f aca="false">IF(S152="","",S152*Punktwert*Kontrakte-Kommission*Kontrakte)</f>
        <v/>
      </c>
      <c r="V152" s="15" t="str">
        <f aca="false">IF(U152="","",SUM($U$5:U152))</f>
        <v/>
      </c>
      <c r="W152" s="15" t="str">
        <f aca="false">IF(V152="","",MAX(0,MAX($V$5:V152)))</f>
        <v/>
      </c>
      <c r="X152" s="15" t="str">
        <f aca="false">IF(V152="","",V152-W152)</f>
        <v/>
      </c>
      <c r="Y152" s="12" t="str">
        <f aca="false">IF(N152&lt;&gt;"Trade","",IF(P152=0,"Stop = Einstieg?",IF(I152="","Ergebnis eintragen",IF(AND(I152="Zeit",J152=""),"Kurs 11:30 fehlt",IF(OR(AND(M152="Short",H152&gt;F152),AND(M152="Long",H152&lt;G152)),"Einstieg prüfen","ok")))))</f>
        <v/>
      </c>
      <c r="Z152" s="16" t="str">
        <f aca="false">IF(A152="","",WEEKDAY(A152,2))</f>
        <v/>
      </c>
    </row>
    <row r="153" customFormat="false" ht="15" hidden="false" customHeight="false" outlineLevel="0" collapsed="false">
      <c r="A153" s="8"/>
      <c r="B153" s="9"/>
      <c r="C153" s="9"/>
      <c r="D153" s="9"/>
      <c r="E153" s="9"/>
      <c r="F153" s="9"/>
      <c r="G153" s="9"/>
      <c r="H153" s="9"/>
      <c r="I153" s="10"/>
      <c r="J153" s="9"/>
      <c r="K153" s="10"/>
      <c r="L153" s="11" t="str">
        <f aca="false">IF(OR(B153="",C153=""),"",(C153-B153)/B153)</f>
        <v/>
      </c>
      <c r="M153" s="12" t="str">
        <f aca="false">IF(L153="","",IF(ABS(L153)&lt;MinDrive,"kein Trade",IF(L153&gt;0,"Short","Long")))</f>
        <v/>
      </c>
      <c r="N153" s="12" t="str">
        <f aca="false">IF(OR(M153="",M153="kein Trade"),"",IF(H153="","kein Signal","Trade"))</f>
        <v/>
      </c>
      <c r="O153" s="13" t="str">
        <f aca="false">IF(N153&lt;&gt;"Trade","",IF(M153="Short",D153,E153))</f>
        <v/>
      </c>
      <c r="P153" s="13" t="str">
        <f aca="false">IF(N153&lt;&gt;"Trade","",ABS(H153-O153))</f>
        <v/>
      </c>
      <c r="Q153" s="13" t="str">
        <f aca="false">IF(N153&lt;&gt;"Trade","",H153+IF(M153="Long",1,-1)*ZielR*P153)</f>
        <v/>
      </c>
      <c r="R153" s="13" t="str">
        <f aca="false">IF(OR(N153&lt;&gt;"Trade",I153=""),"",IF(I153="Ziel",Q153,IF(I153="Stop",O153,IF(J153="","",J153))))</f>
        <v/>
      </c>
      <c r="S153" s="13" t="str">
        <f aca="false">IF(R153="","",(R153-H153)*IF(M153="Long",1,-1)-2*Slippage)</f>
        <v/>
      </c>
      <c r="T153" s="14" t="str">
        <f aca="false">IF(OR(S153="",P153=0),"",S153/P153)</f>
        <v/>
      </c>
      <c r="U153" s="15" t="str">
        <f aca="false">IF(S153="","",S153*Punktwert*Kontrakte-Kommission*Kontrakte)</f>
        <v/>
      </c>
      <c r="V153" s="15" t="str">
        <f aca="false">IF(U153="","",SUM($U$5:U153))</f>
        <v/>
      </c>
      <c r="W153" s="15" t="str">
        <f aca="false">IF(V153="","",MAX(0,MAX($V$5:V153)))</f>
        <v/>
      </c>
      <c r="X153" s="15" t="str">
        <f aca="false">IF(V153="","",V153-W153)</f>
        <v/>
      </c>
      <c r="Y153" s="12" t="str">
        <f aca="false">IF(N153&lt;&gt;"Trade","",IF(P153=0,"Stop = Einstieg?",IF(I153="","Ergebnis eintragen",IF(AND(I153="Zeit",J153=""),"Kurs 11:30 fehlt",IF(OR(AND(M153="Short",H153&gt;F153),AND(M153="Long",H153&lt;G153)),"Einstieg prüfen","ok")))))</f>
        <v/>
      </c>
      <c r="Z153" s="16" t="str">
        <f aca="false">IF(A153="","",WEEKDAY(A153,2))</f>
        <v/>
      </c>
    </row>
    <row r="154" customFormat="false" ht="15" hidden="false" customHeight="false" outlineLevel="0" collapsed="false">
      <c r="A154" s="8"/>
      <c r="B154" s="9"/>
      <c r="C154" s="9"/>
      <c r="D154" s="9"/>
      <c r="E154" s="9"/>
      <c r="F154" s="9"/>
      <c r="G154" s="9"/>
      <c r="H154" s="9"/>
      <c r="I154" s="10"/>
      <c r="J154" s="9"/>
      <c r="K154" s="10"/>
      <c r="L154" s="11" t="str">
        <f aca="false">IF(OR(B154="",C154=""),"",(C154-B154)/B154)</f>
        <v/>
      </c>
      <c r="M154" s="12" t="str">
        <f aca="false">IF(L154="","",IF(ABS(L154)&lt;MinDrive,"kein Trade",IF(L154&gt;0,"Short","Long")))</f>
        <v/>
      </c>
      <c r="N154" s="12" t="str">
        <f aca="false">IF(OR(M154="",M154="kein Trade"),"",IF(H154="","kein Signal","Trade"))</f>
        <v/>
      </c>
      <c r="O154" s="13" t="str">
        <f aca="false">IF(N154&lt;&gt;"Trade","",IF(M154="Short",D154,E154))</f>
        <v/>
      </c>
      <c r="P154" s="13" t="str">
        <f aca="false">IF(N154&lt;&gt;"Trade","",ABS(H154-O154))</f>
        <v/>
      </c>
      <c r="Q154" s="13" t="str">
        <f aca="false">IF(N154&lt;&gt;"Trade","",H154+IF(M154="Long",1,-1)*ZielR*P154)</f>
        <v/>
      </c>
      <c r="R154" s="13" t="str">
        <f aca="false">IF(OR(N154&lt;&gt;"Trade",I154=""),"",IF(I154="Ziel",Q154,IF(I154="Stop",O154,IF(J154="","",J154))))</f>
        <v/>
      </c>
      <c r="S154" s="13" t="str">
        <f aca="false">IF(R154="","",(R154-H154)*IF(M154="Long",1,-1)-2*Slippage)</f>
        <v/>
      </c>
      <c r="T154" s="14" t="str">
        <f aca="false">IF(OR(S154="",P154=0),"",S154/P154)</f>
        <v/>
      </c>
      <c r="U154" s="15" t="str">
        <f aca="false">IF(S154="","",S154*Punktwert*Kontrakte-Kommission*Kontrakte)</f>
        <v/>
      </c>
      <c r="V154" s="15" t="str">
        <f aca="false">IF(U154="","",SUM($U$5:U154))</f>
        <v/>
      </c>
      <c r="W154" s="15" t="str">
        <f aca="false">IF(V154="","",MAX(0,MAX($V$5:V154)))</f>
        <v/>
      </c>
      <c r="X154" s="15" t="str">
        <f aca="false">IF(V154="","",V154-W154)</f>
        <v/>
      </c>
      <c r="Y154" s="12" t="str">
        <f aca="false">IF(N154&lt;&gt;"Trade","",IF(P154=0,"Stop = Einstieg?",IF(I154="","Ergebnis eintragen",IF(AND(I154="Zeit",J154=""),"Kurs 11:30 fehlt",IF(OR(AND(M154="Short",H154&gt;F154),AND(M154="Long",H154&lt;G154)),"Einstieg prüfen","ok")))))</f>
        <v/>
      </c>
      <c r="Z154" s="16" t="str">
        <f aca="false">IF(A154="","",WEEKDAY(A154,2))</f>
        <v/>
      </c>
    </row>
    <row r="155" customFormat="false" ht="15" hidden="false" customHeight="false" outlineLevel="0" collapsed="false">
      <c r="A155" s="8"/>
      <c r="B155" s="9"/>
      <c r="C155" s="9"/>
      <c r="D155" s="9"/>
      <c r="E155" s="9"/>
      <c r="F155" s="9"/>
      <c r="G155" s="9"/>
      <c r="H155" s="9"/>
      <c r="I155" s="10"/>
      <c r="J155" s="9"/>
      <c r="K155" s="10"/>
      <c r="L155" s="11" t="str">
        <f aca="false">IF(OR(B155="",C155=""),"",(C155-B155)/B155)</f>
        <v/>
      </c>
      <c r="M155" s="12" t="str">
        <f aca="false">IF(L155="","",IF(ABS(L155)&lt;MinDrive,"kein Trade",IF(L155&gt;0,"Short","Long")))</f>
        <v/>
      </c>
      <c r="N155" s="12" t="str">
        <f aca="false">IF(OR(M155="",M155="kein Trade"),"",IF(H155="","kein Signal","Trade"))</f>
        <v/>
      </c>
      <c r="O155" s="13" t="str">
        <f aca="false">IF(N155&lt;&gt;"Trade","",IF(M155="Short",D155,E155))</f>
        <v/>
      </c>
      <c r="P155" s="13" t="str">
        <f aca="false">IF(N155&lt;&gt;"Trade","",ABS(H155-O155))</f>
        <v/>
      </c>
      <c r="Q155" s="13" t="str">
        <f aca="false">IF(N155&lt;&gt;"Trade","",H155+IF(M155="Long",1,-1)*ZielR*P155)</f>
        <v/>
      </c>
      <c r="R155" s="13" t="str">
        <f aca="false">IF(OR(N155&lt;&gt;"Trade",I155=""),"",IF(I155="Ziel",Q155,IF(I155="Stop",O155,IF(J155="","",J155))))</f>
        <v/>
      </c>
      <c r="S155" s="13" t="str">
        <f aca="false">IF(R155="","",(R155-H155)*IF(M155="Long",1,-1)-2*Slippage)</f>
        <v/>
      </c>
      <c r="T155" s="14" t="str">
        <f aca="false">IF(OR(S155="",P155=0),"",S155/P155)</f>
        <v/>
      </c>
      <c r="U155" s="15" t="str">
        <f aca="false">IF(S155="","",S155*Punktwert*Kontrakte-Kommission*Kontrakte)</f>
        <v/>
      </c>
      <c r="V155" s="15" t="str">
        <f aca="false">IF(U155="","",SUM($U$5:U155))</f>
        <v/>
      </c>
      <c r="W155" s="15" t="str">
        <f aca="false">IF(V155="","",MAX(0,MAX($V$5:V155)))</f>
        <v/>
      </c>
      <c r="X155" s="15" t="str">
        <f aca="false">IF(V155="","",V155-W155)</f>
        <v/>
      </c>
      <c r="Y155" s="12" t="str">
        <f aca="false">IF(N155&lt;&gt;"Trade","",IF(P155=0,"Stop = Einstieg?",IF(I155="","Ergebnis eintragen",IF(AND(I155="Zeit",J155=""),"Kurs 11:30 fehlt",IF(OR(AND(M155="Short",H155&gt;F155),AND(M155="Long",H155&lt;G155)),"Einstieg prüfen","ok")))))</f>
        <v/>
      </c>
      <c r="Z155" s="16" t="str">
        <f aca="false">IF(A155="","",WEEKDAY(A155,2))</f>
        <v/>
      </c>
    </row>
    <row r="156" customFormat="false" ht="15" hidden="false" customHeight="false" outlineLevel="0" collapsed="false">
      <c r="A156" s="8"/>
      <c r="B156" s="9"/>
      <c r="C156" s="9"/>
      <c r="D156" s="9"/>
      <c r="E156" s="9"/>
      <c r="F156" s="9"/>
      <c r="G156" s="9"/>
      <c r="H156" s="9"/>
      <c r="I156" s="10"/>
      <c r="J156" s="9"/>
      <c r="K156" s="10"/>
      <c r="L156" s="11" t="str">
        <f aca="false">IF(OR(B156="",C156=""),"",(C156-B156)/B156)</f>
        <v/>
      </c>
      <c r="M156" s="12" t="str">
        <f aca="false">IF(L156="","",IF(ABS(L156)&lt;MinDrive,"kein Trade",IF(L156&gt;0,"Short","Long")))</f>
        <v/>
      </c>
      <c r="N156" s="12" t="str">
        <f aca="false">IF(OR(M156="",M156="kein Trade"),"",IF(H156="","kein Signal","Trade"))</f>
        <v/>
      </c>
      <c r="O156" s="13" t="str">
        <f aca="false">IF(N156&lt;&gt;"Trade","",IF(M156="Short",D156,E156))</f>
        <v/>
      </c>
      <c r="P156" s="13" t="str">
        <f aca="false">IF(N156&lt;&gt;"Trade","",ABS(H156-O156))</f>
        <v/>
      </c>
      <c r="Q156" s="13" t="str">
        <f aca="false">IF(N156&lt;&gt;"Trade","",H156+IF(M156="Long",1,-1)*ZielR*P156)</f>
        <v/>
      </c>
      <c r="R156" s="13" t="str">
        <f aca="false">IF(OR(N156&lt;&gt;"Trade",I156=""),"",IF(I156="Ziel",Q156,IF(I156="Stop",O156,IF(J156="","",J156))))</f>
        <v/>
      </c>
      <c r="S156" s="13" t="str">
        <f aca="false">IF(R156="","",(R156-H156)*IF(M156="Long",1,-1)-2*Slippage)</f>
        <v/>
      </c>
      <c r="T156" s="14" t="str">
        <f aca="false">IF(OR(S156="",P156=0),"",S156/P156)</f>
        <v/>
      </c>
      <c r="U156" s="15" t="str">
        <f aca="false">IF(S156="","",S156*Punktwert*Kontrakte-Kommission*Kontrakte)</f>
        <v/>
      </c>
      <c r="V156" s="15" t="str">
        <f aca="false">IF(U156="","",SUM($U$5:U156))</f>
        <v/>
      </c>
      <c r="W156" s="15" t="str">
        <f aca="false">IF(V156="","",MAX(0,MAX($V$5:V156)))</f>
        <v/>
      </c>
      <c r="X156" s="15" t="str">
        <f aca="false">IF(V156="","",V156-W156)</f>
        <v/>
      </c>
      <c r="Y156" s="12" t="str">
        <f aca="false">IF(N156&lt;&gt;"Trade","",IF(P156=0,"Stop = Einstieg?",IF(I156="","Ergebnis eintragen",IF(AND(I156="Zeit",J156=""),"Kurs 11:30 fehlt",IF(OR(AND(M156="Short",H156&gt;F156),AND(M156="Long",H156&lt;G156)),"Einstieg prüfen","ok")))))</f>
        <v/>
      </c>
      <c r="Z156" s="16" t="str">
        <f aca="false">IF(A156="","",WEEKDAY(A156,2))</f>
        <v/>
      </c>
    </row>
    <row r="157" customFormat="false" ht="15" hidden="false" customHeight="false" outlineLevel="0" collapsed="false">
      <c r="A157" s="8"/>
      <c r="B157" s="9"/>
      <c r="C157" s="9"/>
      <c r="D157" s="9"/>
      <c r="E157" s="9"/>
      <c r="F157" s="9"/>
      <c r="G157" s="9"/>
      <c r="H157" s="9"/>
      <c r="I157" s="10"/>
      <c r="J157" s="9"/>
      <c r="K157" s="10"/>
      <c r="L157" s="11" t="str">
        <f aca="false">IF(OR(B157="",C157=""),"",(C157-B157)/B157)</f>
        <v/>
      </c>
      <c r="M157" s="12" t="str">
        <f aca="false">IF(L157="","",IF(ABS(L157)&lt;MinDrive,"kein Trade",IF(L157&gt;0,"Short","Long")))</f>
        <v/>
      </c>
      <c r="N157" s="12" t="str">
        <f aca="false">IF(OR(M157="",M157="kein Trade"),"",IF(H157="","kein Signal","Trade"))</f>
        <v/>
      </c>
      <c r="O157" s="13" t="str">
        <f aca="false">IF(N157&lt;&gt;"Trade","",IF(M157="Short",D157,E157))</f>
        <v/>
      </c>
      <c r="P157" s="13" t="str">
        <f aca="false">IF(N157&lt;&gt;"Trade","",ABS(H157-O157))</f>
        <v/>
      </c>
      <c r="Q157" s="13" t="str">
        <f aca="false">IF(N157&lt;&gt;"Trade","",H157+IF(M157="Long",1,-1)*ZielR*P157)</f>
        <v/>
      </c>
      <c r="R157" s="13" t="str">
        <f aca="false">IF(OR(N157&lt;&gt;"Trade",I157=""),"",IF(I157="Ziel",Q157,IF(I157="Stop",O157,IF(J157="","",J157))))</f>
        <v/>
      </c>
      <c r="S157" s="13" t="str">
        <f aca="false">IF(R157="","",(R157-H157)*IF(M157="Long",1,-1)-2*Slippage)</f>
        <v/>
      </c>
      <c r="T157" s="14" t="str">
        <f aca="false">IF(OR(S157="",P157=0),"",S157/P157)</f>
        <v/>
      </c>
      <c r="U157" s="15" t="str">
        <f aca="false">IF(S157="","",S157*Punktwert*Kontrakte-Kommission*Kontrakte)</f>
        <v/>
      </c>
      <c r="V157" s="15" t="str">
        <f aca="false">IF(U157="","",SUM($U$5:U157))</f>
        <v/>
      </c>
      <c r="W157" s="15" t="str">
        <f aca="false">IF(V157="","",MAX(0,MAX($V$5:V157)))</f>
        <v/>
      </c>
      <c r="X157" s="15" t="str">
        <f aca="false">IF(V157="","",V157-W157)</f>
        <v/>
      </c>
      <c r="Y157" s="12" t="str">
        <f aca="false">IF(N157&lt;&gt;"Trade","",IF(P157=0,"Stop = Einstieg?",IF(I157="","Ergebnis eintragen",IF(AND(I157="Zeit",J157=""),"Kurs 11:30 fehlt",IF(OR(AND(M157="Short",H157&gt;F157),AND(M157="Long",H157&lt;G157)),"Einstieg prüfen","ok")))))</f>
        <v/>
      </c>
      <c r="Z157" s="16" t="str">
        <f aca="false">IF(A157="","",WEEKDAY(A157,2))</f>
        <v/>
      </c>
    </row>
    <row r="158" customFormat="false" ht="15" hidden="false" customHeight="false" outlineLevel="0" collapsed="false">
      <c r="A158" s="8"/>
      <c r="B158" s="9"/>
      <c r="C158" s="9"/>
      <c r="D158" s="9"/>
      <c r="E158" s="9"/>
      <c r="F158" s="9"/>
      <c r="G158" s="9"/>
      <c r="H158" s="9"/>
      <c r="I158" s="10"/>
      <c r="J158" s="9"/>
      <c r="K158" s="10"/>
      <c r="L158" s="11" t="str">
        <f aca="false">IF(OR(B158="",C158=""),"",(C158-B158)/B158)</f>
        <v/>
      </c>
      <c r="M158" s="12" t="str">
        <f aca="false">IF(L158="","",IF(ABS(L158)&lt;MinDrive,"kein Trade",IF(L158&gt;0,"Short","Long")))</f>
        <v/>
      </c>
      <c r="N158" s="12" t="str">
        <f aca="false">IF(OR(M158="",M158="kein Trade"),"",IF(H158="","kein Signal","Trade"))</f>
        <v/>
      </c>
      <c r="O158" s="13" t="str">
        <f aca="false">IF(N158&lt;&gt;"Trade","",IF(M158="Short",D158,E158))</f>
        <v/>
      </c>
      <c r="P158" s="13" t="str">
        <f aca="false">IF(N158&lt;&gt;"Trade","",ABS(H158-O158))</f>
        <v/>
      </c>
      <c r="Q158" s="13" t="str">
        <f aca="false">IF(N158&lt;&gt;"Trade","",H158+IF(M158="Long",1,-1)*ZielR*P158)</f>
        <v/>
      </c>
      <c r="R158" s="13" t="str">
        <f aca="false">IF(OR(N158&lt;&gt;"Trade",I158=""),"",IF(I158="Ziel",Q158,IF(I158="Stop",O158,IF(J158="","",J158))))</f>
        <v/>
      </c>
      <c r="S158" s="13" t="str">
        <f aca="false">IF(R158="","",(R158-H158)*IF(M158="Long",1,-1)-2*Slippage)</f>
        <v/>
      </c>
      <c r="T158" s="14" t="str">
        <f aca="false">IF(OR(S158="",P158=0),"",S158/P158)</f>
        <v/>
      </c>
      <c r="U158" s="15" t="str">
        <f aca="false">IF(S158="","",S158*Punktwert*Kontrakte-Kommission*Kontrakte)</f>
        <v/>
      </c>
      <c r="V158" s="15" t="str">
        <f aca="false">IF(U158="","",SUM($U$5:U158))</f>
        <v/>
      </c>
      <c r="W158" s="15" t="str">
        <f aca="false">IF(V158="","",MAX(0,MAX($V$5:V158)))</f>
        <v/>
      </c>
      <c r="X158" s="15" t="str">
        <f aca="false">IF(V158="","",V158-W158)</f>
        <v/>
      </c>
      <c r="Y158" s="12" t="str">
        <f aca="false">IF(N158&lt;&gt;"Trade","",IF(P158=0,"Stop = Einstieg?",IF(I158="","Ergebnis eintragen",IF(AND(I158="Zeit",J158=""),"Kurs 11:30 fehlt",IF(OR(AND(M158="Short",H158&gt;F158),AND(M158="Long",H158&lt;G158)),"Einstieg prüfen","ok")))))</f>
        <v/>
      </c>
      <c r="Z158" s="16" t="str">
        <f aca="false">IF(A158="","",WEEKDAY(A158,2))</f>
        <v/>
      </c>
    </row>
    <row r="159" customFormat="false" ht="15" hidden="false" customHeight="false" outlineLevel="0" collapsed="false">
      <c r="A159" s="8"/>
      <c r="B159" s="9"/>
      <c r="C159" s="9"/>
      <c r="D159" s="9"/>
      <c r="E159" s="9"/>
      <c r="F159" s="9"/>
      <c r="G159" s="9"/>
      <c r="H159" s="9"/>
      <c r="I159" s="10"/>
      <c r="J159" s="9"/>
      <c r="K159" s="10"/>
      <c r="L159" s="11" t="str">
        <f aca="false">IF(OR(B159="",C159=""),"",(C159-B159)/B159)</f>
        <v/>
      </c>
      <c r="M159" s="12" t="str">
        <f aca="false">IF(L159="","",IF(ABS(L159)&lt;MinDrive,"kein Trade",IF(L159&gt;0,"Short","Long")))</f>
        <v/>
      </c>
      <c r="N159" s="12" t="str">
        <f aca="false">IF(OR(M159="",M159="kein Trade"),"",IF(H159="","kein Signal","Trade"))</f>
        <v/>
      </c>
      <c r="O159" s="13" t="str">
        <f aca="false">IF(N159&lt;&gt;"Trade","",IF(M159="Short",D159,E159))</f>
        <v/>
      </c>
      <c r="P159" s="13" t="str">
        <f aca="false">IF(N159&lt;&gt;"Trade","",ABS(H159-O159))</f>
        <v/>
      </c>
      <c r="Q159" s="13" t="str">
        <f aca="false">IF(N159&lt;&gt;"Trade","",H159+IF(M159="Long",1,-1)*ZielR*P159)</f>
        <v/>
      </c>
      <c r="R159" s="13" t="str">
        <f aca="false">IF(OR(N159&lt;&gt;"Trade",I159=""),"",IF(I159="Ziel",Q159,IF(I159="Stop",O159,IF(J159="","",J159))))</f>
        <v/>
      </c>
      <c r="S159" s="13" t="str">
        <f aca="false">IF(R159="","",(R159-H159)*IF(M159="Long",1,-1)-2*Slippage)</f>
        <v/>
      </c>
      <c r="T159" s="14" t="str">
        <f aca="false">IF(OR(S159="",P159=0),"",S159/P159)</f>
        <v/>
      </c>
      <c r="U159" s="15" t="str">
        <f aca="false">IF(S159="","",S159*Punktwert*Kontrakte-Kommission*Kontrakte)</f>
        <v/>
      </c>
      <c r="V159" s="15" t="str">
        <f aca="false">IF(U159="","",SUM($U$5:U159))</f>
        <v/>
      </c>
      <c r="W159" s="15" t="str">
        <f aca="false">IF(V159="","",MAX(0,MAX($V$5:V159)))</f>
        <v/>
      </c>
      <c r="X159" s="15" t="str">
        <f aca="false">IF(V159="","",V159-W159)</f>
        <v/>
      </c>
      <c r="Y159" s="12" t="str">
        <f aca="false">IF(N159&lt;&gt;"Trade","",IF(P159=0,"Stop = Einstieg?",IF(I159="","Ergebnis eintragen",IF(AND(I159="Zeit",J159=""),"Kurs 11:30 fehlt",IF(OR(AND(M159="Short",H159&gt;F159),AND(M159="Long",H159&lt;G159)),"Einstieg prüfen","ok")))))</f>
        <v/>
      </c>
      <c r="Z159" s="16" t="str">
        <f aca="false">IF(A159="","",WEEKDAY(A159,2))</f>
        <v/>
      </c>
    </row>
    <row r="160" customFormat="false" ht="15" hidden="false" customHeight="false" outlineLevel="0" collapsed="false">
      <c r="A160" s="8"/>
      <c r="B160" s="9"/>
      <c r="C160" s="9"/>
      <c r="D160" s="9"/>
      <c r="E160" s="9"/>
      <c r="F160" s="9"/>
      <c r="G160" s="9"/>
      <c r="H160" s="9"/>
      <c r="I160" s="10"/>
      <c r="J160" s="9"/>
      <c r="K160" s="10"/>
      <c r="L160" s="11" t="str">
        <f aca="false">IF(OR(B160="",C160=""),"",(C160-B160)/B160)</f>
        <v/>
      </c>
      <c r="M160" s="12" t="str">
        <f aca="false">IF(L160="","",IF(ABS(L160)&lt;MinDrive,"kein Trade",IF(L160&gt;0,"Short","Long")))</f>
        <v/>
      </c>
      <c r="N160" s="12" t="str">
        <f aca="false">IF(OR(M160="",M160="kein Trade"),"",IF(H160="","kein Signal","Trade"))</f>
        <v/>
      </c>
      <c r="O160" s="13" t="str">
        <f aca="false">IF(N160&lt;&gt;"Trade","",IF(M160="Short",D160,E160))</f>
        <v/>
      </c>
      <c r="P160" s="13" t="str">
        <f aca="false">IF(N160&lt;&gt;"Trade","",ABS(H160-O160))</f>
        <v/>
      </c>
      <c r="Q160" s="13" t="str">
        <f aca="false">IF(N160&lt;&gt;"Trade","",H160+IF(M160="Long",1,-1)*ZielR*P160)</f>
        <v/>
      </c>
      <c r="R160" s="13" t="str">
        <f aca="false">IF(OR(N160&lt;&gt;"Trade",I160=""),"",IF(I160="Ziel",Q160,IF(I160="Stop",O160,IF(J160="","",J160))))</f>
        <v/>
      </c>
      <c r="S160" s="13" t="str">
        <f aca="false">IF(R160="","",(R160-H160)*IF(M160="Long",1,-1)-2*Slippage)</f>
        <v/>
      </c>
      <c r="T160" s="14" t="str">
        <f aca="false">IF(OR(S160="",P160=0),"",S160/P160)</f>
        <v/>
      </c>
      <c r="U160" s="15" t="str">
        <f aca="false">IF(S160="","",S160*Punktwert*Kontrakte-Kommission*Kontrakte)</f>
        <v/>
      </c>
      <c r="V160" s="15" t="str">
        <f aca="false">IF(U160="","",SUM($U$5:U160))</f>
        <v/>
      </c>
      <c r="W160" s="15" t="str">
        <f aca="false">IF(V160="","",MAX(0,MAX($V$5:V160)))</f>
        <v/>
      </c>
      <c r="X160" s="15" t="str">
        <f aca="false">IF(V160="","",V160-W160)</f>
        <v/>
      </c>
      <c r="Y160" s="12" t="str">
        <f aca="false">IF(N160&lt;&gt;"Trade","",IF(P160=0,"Stop = Einstieg?",IF(I160="","Ergebnis eintragen",IF(AND(I160="Zeit",J160=""),"Kurs 11:30 fehlt",IF(OR(AND(M160="Short",H160&gt;F160),AND(M160="Long",H160&lt;G160)),"Einstieg prüfen","ok")))))</f>
        <v/>
      </c>
      <c r="Z160" s="16" t="str">
        <f aca="false">IF(A160="","",WEEKDAY(A160,2))</f>
        <v/>
      </c>
    </row>
    <row r="161" customFormat="false" ht="15" hidden="false" customHeight="false" outlineLevel="0" collapsed="false">
      <c r="A161" s="8"/>
      <c r="B161" s="9"/>
      <c r="C161" s="9"/>
      <c r="D161" s="9"/>
      <c r="E161" s="9"/>
      <c r="F161" s="9"/>
      <c r="G161" s="9"/>
      <c r="H161" s="9"/>
      <c r="I161" s="10"/>
      <c r="J161" s="9"/>
      <c r="K161" s="10"/>
      <c r="L161" s="11" t="str">
        <f aca="false">IF(OR(B161="",C161=""),"",(C161-B161)/B161)</f>
        <v/>
      </c>
      <c r="M161" s="12" t="str">
        <f aca="false">IF(L161="","",IF(ABS(L161)&lt;MinDrive,"kein Trade",IF(L161&gt;0,"Short","Long")))</f>
        <v/>
      </c>
      <c r="N161" s="12" t="str">
        <f aca="false">IF(OR(M161="",M161="kein Trade"),"",IF(H161="","kein Signal","Trade"))</f>
        <v/>
      </c>
      <c r="O161" s="13" t="str">
        <f aca="false">IF(N161&lt;&gt;"Trade","",IF(M161="Short",D161,E161))</f>
        <v/>
      </c>
      <c r="P161" s="13" t="str">
        <f aca="false">IF(N161&lt;&gt;"Trade","",ABS(H161-O161))</f>
        <v/>
      </c>
      <c r="Q161" s="13" t="str">
        <f aca="false">IF(N161&lt;&gt;"Trade","",H161+IF(M161="Long",1,-1)*ZielR*P161)</f>
        <v/>
      </c>
      <c r="R161" s="13" t="str">
        <f aca="false">IF(OR(N161&lt;&gt;"Trade",I161=""),"",IF(I161="Ziel",Q161,IF(I161="Stop",O161,IF(J161="","",J161))))</f>
        <v/>
      </c>
      <c r="S161" s="13" t="str">
        <f aca="false">IF(R161="","",(R161-H161)*IF(M161="Long",1,-1)-2*Slippage)</f>
        <v/>
      </c>
      <c r="T161" s="14" t="str">
        <f aca="false">IF(OR(S161="",P161=0),"",S161/P161)</f>
        <v/>
      </c>
      <c r="U161" s="15" t="str">
        <f aca="false">IF(S161="","",S161*Punktwert*Kontrakte-Kommission*Kontrakte)</f>
        <v/>
      </c>
      <c r="V161" s="15" t="str">
        <f aca="false">IF(U161="","",SUM($U$5:U161))</f>
        <v/>
      </c>
      <c r="W161" s="15" t="str">
        <f aca="false">IF(V161="","",MAX(0,MAX($V$5:V161)))</f>
        <v/>
      </c>
      <c r="X161" s="15" t="str">
        <f aca="false">IF(V161="","",V161-W161)</f>
        <v/>
      </c>
      <c r="Y161" s="12" t="str">
        <f aca="false">IF(N161&lt;&gt;"Trade","",IF(P161=0,"Stop = Einstieg?",IF(I161="","Ergebnis eintragen",IF(AND(I161="Zeit",J161=""),"Kurs 11:30 fehlt",IF(OR(AND(M161="Short",H161&gt;F161),AND(M161="Long",H161&lt;G161)),"Einstieg prüfen","ok")))))</f>
        <v/>
      </c>
      <c r="Z161" s="16" t="str">
        <f aca="false">IF(A161="","",WEEKDAY(A161,2))</f>
        <v/>
      </c>
    </row>
    <row r="162" customFormat="false" ht="15" hidden="false" customHeight="false" outlineLevel="0" collapsed="false">
      <c r="A162" s="8"/>
      <c r="B162" s="9"/>
      <c r="C162" s="9"/>
      <c r="D162" s="9"/>
      <c r="E162" s="9"/>
      <c r="F162" s="9"/>
      <c r="G162" s="9"/>
      <c r="H162" s="9"/>
      <c r="I162" s="10"/>
      <c r="J162" s="9"/>
      <c r="K162" s="10"/>
      <c r="L162" s="11" t="str">
        <f aca="false">IF(OR(B162="",C162=""),"",(C162-B162)/B162)</f>
        <v/>
      </c>
      <c r="M162" s="12" t="str">
        <f aca="false">IF(L162="","",IF(ABS(L162)&lt;MinDrive,"kein Trade",IF(L162&gt;0,"Short","Long")))</f>
        <v/>
      </c>
      <c r="N162" s="12" t="str">
        <f aca="false">IF(OR(M162="",M162="kein Trade"),"",IF(H162="","kein Signal","Trade"))</f>
        <v/>
      </c>
      <c r="O162" s="13" t="str">
        <f aca="false">IF(N162&lt;&gt;"Trade","",IF(M162="Short",D162,E162))</f>
        <v/>
      </c>
      <c r="P162" s="13" t="str">
        <f aca="false">IF(N162&lt;&gt;"Trade","",ABS(H162-O162))</f>
        <v/>
      </c>
      <c r="Q162" s="13" t="str">
        <f aca="false">IF(N162&lt;&gt;"Trade","",H162+IF(M162="Long",1,-1)*ZielR*P162)</f>
        <v/>
      </c>
      <c r="R162" s="13" t="str">
        <f aca="false">IF(OR(N162&lt;&gt;"Trade",I162=""),"",IF(I162="Ziel",Q162,IF(I162="Stop",O162,IF(J162="","",J162))))</f>
        <v/>
      </c>
      <c r="S162" s="13" t="str">
        <f aca="false">IF(R162="","",(R162-H162)*IF(M162="Long",1,-1)-2*Slippage)</f>
        <v/>
      </c>
      <c r="T162" s="14" t="str">
        <f aca="false">IF(OR(S162="",P162=0),"",S162/P162)</f>
        <v/>
      </c>
      <c r="U162" s="15" t="str">
        <f aca="false">IF(S162="","",S162*Punktwert*Kontrakte-Kommission*Kontrakte)</f>
        <v/>
      </c>
      <c r="V162" s="15" t="str">
        <f aca="false">IF(U162="","",SUM($U$5:U162))</f>
        <v/>
      </c>
      <c r="W162" s="15" t="str">
        <f aca="false">IF(V162="","",MAX(0,MAX($V$5:V162)))</f>
        <v/>
      </c>
      <c r="X162" s="15" t="str">
        <f aca="false">IF(V162="","",V162-W162)</f>
        <v/>
      </c>
      <c r="Y162" s="12" t="str">
        <f aca="false">IF(N162&lt;&gt;"Trade","",IF(P162=0,"Stop = Einstieg?",IF(I162="","Ergebnis eintragen",IF(AND(I162="Zeit",J162=""),"Kurs 11:30 fehlt",IF(OR(AND(M162="Short",H162&gt;F162),AND(M162="Long",H162&lt;G162)),"Einstieg prüfen","ok")))))</f>
        <v/>
      </c>
      <c r="Z162" s="16" t="str">
        <f aca="false">IF(A162="","",WEEKDAY(A162,2))</f>
        <v/>
      </c>
    </row>
    <row r="163" customFormat="false" ht="15" hidden="false" customHeight="false" outlineLevel="0" collapsed="false">
      <c r="A163" s="8"/>
      <c r="B163" s="9"/>
      <c r="C163" s="9"/>
      <c r="D163" s="9"/>
      <c r="E163" s="9"/>
      <c r="F163" s="9"/>
      <c r="G163" s="9"/>
      <c r="H163" s="9"/>
      <c r="I163" s="10"/>
      <c r="J163" s="9"/>
      <c r="K163" s="10"/>
      <c r="L163" s="11" t="str">
        <f aca="false">IF(OR(B163="",C163=""),"",(C163-B163)/B163)</f>
        <v/>
      </c>
      <c r="M163" s="12" t="str">
        <f aca="false">IF(L163="","",IF(ABS(L163)&lt;MinDrive,"kein Trade",IF(L163&gt;0,"Short","Long")))</f>
        <v/>
      </c>
      <c r="N163" s="12" t="str">
        <f aca="false">IF(OR(M163="",M163="kein Trade"),"",IF(H163="","kein Signal","Trade"))</f>
        <v/>
      </c>
      <c r="O163" s="13" t="str">
        <f aca="false">IF(N163&lt;&gt;"Trade","",IF(M163="Short",D163,E163))</f>
        <v/>
      </c>
      <c r="P163" s="13" t="str">
        <f aca="false">IF(N163&lt;&gt;"Trade","",ABS(H163-O163))</f>
        <v/>
      </c>
      <c r="Q163" s="13" t="str">
        <f aca="false">IF(N163&lt;&gt;"Trade","",H163+IF(M163="Long",1,-1)*ZielR*P163)</f>
        <v/>
      </c>
      <c r="R163" s="13" t="str">
        <f aca="false">IF(OR(N163&lt;&gt;"Trade",I163=""),"",IF(I163="Ziel",Q163,IF(I163="Stop",O163,IF(J163="","",J163))))</f>
        <v/>
      </c>
      <c r="S163" s="13" t="str">
        <f aca="false">IF(R163="","",(R163-H163)*IF(M163="Long",1,-1)-2*Slippage)</f>
        <v/>
      </c>
      <c r="T163" s="14" t="str">
        <f aca="false">IF(OR(S163="",P163=0),"",S163/P163)</f>
        <v/>
      </c>
      <c r="U163" s="15" t="str">
        <f aca="false">IF(S163="","",S163*Punktwert*Kontrakte-Kommission*Kontrakte)</f>
        <v/>
      </c>
      <c r="V163" s="15" t="str">
        <f aca="false">IF(U163="","",SUM($U$5:U163))</f>
        <v/>
      </c>
      <c r="W163" s="15" t="str">
        <f aca="false">IF(V163="","",MAX(0,MAX($V$5:V163)))</f>
        <v/>
      </c>
      <c r="X163" s="15" t="str">
        <f aca="false">IF(V163="","",V163-W163)</f>
        <v/>
      </c>
      <c r="Y163" s="12" t="str">
        <f aca="false">IF(N163&lt;&gt;"Trade","",IF(P163=0,"Stop = Einstieg?",IF(I163="","Ergebnis eintragen",IF(AND(I163="Zeit",J163=""),"Kurs 11:30 fehlt",IF(OR(AND(M163="Short",H163&gt;F163),AND(M163="Long",H163&lt;G163)),"Einstieg prüfen","ok")))))</f>
        <v/>
      </c>
      <c r="Z163" s="16" t="str">
        <f aca="false">IF(A163="","",WEEKDAY(A163,2))</f>
        <v/>
      </c>
    </row>
    <row r="164" customFormat="false" ht="15" hidden="false" customHeight="false" outlineLevel="0" collapsed="false">
      <c r="A164" s="8"/>
      <c r="B164" s="9"/>
      <c r="C164" s="9"/>
      <c r="D164" s="9"/>
      <c r="E164" s="9"/>
      <c r="F164" s="9"/>
      <c r="G164" s="9"/>
      <c r="H164" s="9"/>
      <c r="I164" s="10"/>
      <c r="J164" s="9"/>
      <c r="K164" s="10"/>
      <c r="L164" s="11" t="str">
        <f aca="false">IF(OR(B164="",C164=""),"",(C164-B164)/B164)</f>
        <v/>
      </c>
      <c r="M164" s="12" t="str">
        <f aca="false">IF(L164="","",IF(ABS(L164)&lt;MinDrive,"kein Trade",IF(L164&gt;0,"Short","Long")))</f>
        <v/>
      </c>
      <c r="N164" s="12" t="str">
        <f aca="false">IF(OR(M164="",M164="kein Trade"),"",IF(H164="","kein Signal","Trade"))</f>
        <v/>
      </c>
      <c r="O164" s="13" t="str">
        <f aca="false">IF(N164&lt;&gt;"Trade","",IF(M164="Short",D164,E164))</f>
        <v/>
      </c>
      <c r="P164" s="13" t="str">
        <f aca="false">IF(N164&lt;&gt;"Trade","",ABS(H164-O164))</f>
        <v/>
      </c>
      <c r="Q164" s="13" t="str">
        <f aca="false">IF(N164&lt;&gt;"Trade","",H164+IF(M164="Long",1,-1)*ZielR*P164)</f>
        <v/>
      </c>
      <c r="R164" s="13" t="str">
        <f aca="false">IF(OR(N164&lt;&gt;"Trade",I164=""),"",IF(I164="Ziel",Q164,IF(I164="Stop",O164,IF(J164="","",J164))))</f>
        <v/>
      </c>
      <c r="S164" s="13" t="str">
        <f aca="false">IF(R164="","",(R164-H164)*IF(M164="Long",1,-1)-2*Slippage)</f>
        <v/>
      </c>
      <c r="T164" s="14" t="str">
        <f aca="false">IF(OR(S164="",P164=0),"",S164/P164)</f>
        <v/>
      </c>
      <c r="U164" s="15" t="str">
        <f aca="false">IF(S164="","",S164*Punktwert*Kontrakte-Kommission*Kontrakte)</f>
        <v/>
      </c>
      <c r="V164" s="15" t="str">
        <f aca="false">IF(U164="","",SUM($U$5:U164))</f>
        <v/>
      </c>
      <c r="W164" s="15" t="str">
        <f aca="false">IF(V164="","",MAX(0,MAX($V$5:V164)))</f>
        <v/>
      </c>
      <c r="X164" s="15" t="str">
        <f aca="false">IF(V164="","",V164-W164)</f>
        <v/>
      </c>
      <c r="Y164" s="12" t="str">
        <f aca="false">IF(N164&lt;&gt;"Trade","",IF(P164=0,"Stop = Einstieg?",IF(I164="","Ergebnis eintragen",IF(AND(I164="Zeit",J164=""),"Kurs 11:30 fehlt",IF(OR(AND(M164="Short",H164&gt;F164),AND(M164="Long",H164&lt;G164)),"Einstieg prüfen","ok")))))</f>
        <v/>
      </c>
      <c r="Z164" s="16" t="str">
        <f aca="false">IF(A164="","",WEEKDAY(A164,2))</f>
        <v/>
      </c>
    </row>
    <row r="165" customFormat="false" ht="15" hidden="false" customHeight="false" outlineLevel="0" collapsed="false">
      <c r="A165" s="8"/>
      <c r="B165" s="9"/>
      <c r="C165" s="9"/>
      <c r="D165" s="9"/>
      <c r="E165" s="9"/>
      <c r="F165" s="9"/>
      <c r="G165" s="9"/>
      <c r="H165" s="9"/>
      <c r="I165" s="10"/>
      <c r="J165" s="9"/>
      <c r="K165" s="10"/>
      <c r="L165" s="11" t="str">
        <f aca="false">IF(OR(B165="",C165=""),"",(C165-B165)/B165)</f>
        <v/>
      </c>
      <c r="M165" s="12" t="str">
        <f aca="false">IF(L165="","",IF(ABS(L165)&lt;MinDrive,"kein Trade",IF(L165&gt;0,"Short","Long")))</f>
        <v/>
      </c>
      <c r="N165" s="12" t="str">
        <f aca="false">IF(OR(M165="",M165="kein Trade"),"",IF(H165="","kein Signal","Trade"))</f>
        <v/>
      </c>
      <c r="O165" s="13" t="str">
        <f aca="false">IF(N165&lt;&gt;"Trade","",IF(M165="Short",D165,E165))</f>
        <v/>
      </c>
      <c r="P165" s="13" t="str">
        <f aca="false">IF(N165&lt;&gt;"Trade","",ABS(H165-O165))</f>
        <v/>
      </c>
      <c r="Q165" s="13" t="str">
        <f aca="false">IF(N165&lt;&gt;"Trade","",H165+IF(M165="Long",1,-1)*ZielR*P165)</f>
        <v/>
      </c>
      <c r="R165" s="13" t="str">
        <f aca="false">IF(OR(N165&lt;&gt;"Trade",I165=""),"",IF(I165="Ziel",Q165,IF(I165="Stop",O165,IF(J165="","",J165))))</f>
        <v/>
      </c>
      <c r="S165" s="13" t="str">
        <f aca="false">IF(R165="","",(R165-H165)*IF(M165="Long",1,-1)-2*Slippage)</f>
        <v/>
      </c>
      <c r="T165" s="14" t="str">
        <f aca="false">IF(OR(S165="",P165=0),"",S165/P165)</f>
        <v/>
      </c>
      <c r="U165" s="15" t="str">
        <f aca="false">IF(S165="","",S165*Punktwert*Kontrakte-Kommission*Kontrakte)</f>
        <v/>
      </c>
      <c r="V165" s="15" t="str">
        <f aca="false">IF(U165="","",SUM($U$5:U165))</f>
        <v/>
      </c>
      <c r="W165" s="15" t="str">
        <f aca="false">IF(V165="","",MAX(0,MAX($V$5:V165)))</f>
        <v/>
      </c>
      <c r="X165" s="15" t="str">
        <f aca="false">IF(V165="","",V165-W165)</f>
        <v/>
      </c>
      <c r="Y165" s="12" t="str">
        <f aca="false">IF(N165&lt;&gt;"Trade","",IF(P165=0,"Stop = Einstieg?",IF(I165="","Ergebnis eintragen",IF(AND(I165="Zeit",J165=""),"Kurs 11:30 fehlt",IF(OR(AND(M165="Short",H165&gt;F165),AND(M165="Long",H165&lt;G165)),"Einstieg prüfen","ok")))))</f>
        <v/>
      </c>
      <c r="Z165" s="16" t="str">
        <f aca="false">IF(A165="","",WEEKDAY(A165,2))</f>
        <v/>
      </c>
    </row>
    <row r="166" customFormat="false" ht="15" hidden="false" customHeight="false" outlineLevel="0" collapsed="false">
      <c r="A166" s="8"/>
      <c r="B166" s="9"/>
      <c r="C166" s="9"/>
      <c r="D166" s="9"/>
      <c r="E166" s="9"/>
      <c r="F166" s="9"/>
      <c r="G166" s="9"/>
      <c r="H166" s="9"/>
      <c r="I166" s="10"/>
      <c r="J166" s="9"/>
      <c r="K166" s="10"/>
      <c r="L166" s="11" t="str">
        <f aca="false">IF(OR(B166="",C166=""),"",(C166-B166)/B166)</f>
        <v/>
      </c>
      <c r="M166" s="12" t="str">
        <f aca="false">IF(L166="","",IF(ABS(L166)&lt;MinDrive,"kein Trade",IF(L166&gt;0,"Short","Long")))</f>
        <v/>
      </c>
      <c r="N166" s="12" t="str">
        <f aca="false">IF(OR(M166="",M166="kein Trade"),"",IF(H166="","kein Signal","Trade"))</f>
        <v/>
      </c>
      <c r="O166" s="13" t="str">
        <f aca="false">IF(N166&lt;&gt;"Trade","",IF(M166="Short",D166,E166))</f>
        <v/>
      </c>
      <c r="P166" s="13" t="str">
        <f aca="false">IF(N166&lt;&gt;"Trade","",ABS(H166-O166))</f>
        <v/>
      </c>
      <c r="Q166" s="13" t="str">
        <f aca="false">IF(N166&lt;&gt;"Trade","",H166+IF(M166="Long",1,-1)*ZielR*P166)</f>
        <v/>
      </c>
      <c r="R166" s="13" t="str">
        <f aca="false">IF(OR(N166&lt;&gt;"Trade",I166=""),"",IF(I166="Ziel",Q166,IF(I166="Stop",O166,IF(J166="","",J166))))</f>
        <v/>
      </c>
      <c r="S166" s="13" t="str">
        <f aca="false">IF(R166="","",(R166-H166)*IF(M166="Long",1,-1)-2*Slippage)</f>
        <v/>
      </c>
      <c r="T166" s="14" t="str">
        <f aca="false">IF(OR(S166="",P166=0),"",S166/P166)</f>
        <v/>
      </c>
      <c r="U166" s="15" t="str">
        <f aca="false">IF(S166="","",S166*Punktwert*Kontrakte-Kommission*Kontrakte)</f>
        <v/>
      </c>
      <c r="V166" s="15" t="str">
        <f aca="false">IF(U166="","",SUM($U$5:U166))</f>
        <v/>
      </c>
      <c r="W166" s="15" t="str">
        <f aca="false">IF(V166="","",MAX(0,MAX($V$5:V166)))</f>
        <v/>
      </c>
      <c r="X166" s="15" t="str">
        <f aca="false">IF(V166="","",V166-W166)</f>
        <v/>
      </c>
      <c r="Y166" s="12" t="str">
        <f aca="false">IF(N166&lt;&gt;"Trade","",IF(P166=0,"Stop = Einstieg?",IF(I166="","Ergebnis eintragen",IF(AND(I166="Zeit",J166=""),"Kurs 11:30 fehlt",IF(OR(AND(M166="Short",H166&gt;F166),AND(M166="Long",H166&lt;G166)),"Einstieg prüfen","ok")))))</f>
        <v/>
      </c>
      <c r="Z166" s="16" t="str">
        <f aca="false">IF(A166="","",WEEKDAY(A166,2))</f>
        <v/>
      </c>
    </row>
    <row r="167" customFormat="false" ht="15" hidden="false" customHeight="false" outlineLevel="0" collapsed="false">
      <c r="A167" s="8"/>
      <c r="B167" s="9"/>
      <c r="C167" s="9"/>
      <c r="D167" s="9"/>
      <c r="E167" s="9"/>
      <c r="F167" s="9"/>
      <c r="G167" s="9"/>
      <c r="H167" s="9"/>
      <c r="I167" s="10"/>
      <c r="J167" s="9"/>
      <c r="K167" s="10"/>
      <c r="L167" s="11" t="str">
        <f aca="false">IF(OR(B167="",C167=""),"",(C167-B167)/B167)</f>
        <v/>
      </c>
      <c r="M167" s="12" t="str">
        <f aca="false">IF(L167="","",IF(ABS(L167)&lt;MinDrive,"kein Trade",IF(L167&gt;0,"Short","Long")))</f>
        <v/>
      </c>
      <c r="N167" s="12" t="str">
        <f aca="false">IF(OR(M167="",M167="kein Trade"),"",IF(H167="","kein Signal","Trade"))</f>
        <v/>
      </c>
      <c r="O167" s="13" t="str">
        <f aca="false">IF(N167&lt;&gt;"Trade","",IF(M167="Short",D167,E167))</f>
        <v/>
      </c>
      <c r="P167" s="13" t="str">
        <f aca="false">IF(N167&lt;&gt;"Trade","",ABS(H167-O167))</f>
        <v/>
      </c>
      <c r="Q167" s="13" t="str">
        <f aca="false">IF(N167&lt;&gt;"Trade","",H167+IF(M167="Long",1,-1)*ZielR*P167)</f>
        <v/>
      </c>
      <c r="R167" s="13" t="str">
        <f aca="false">IF(OR(N167&lt;&gt;"Trade",I167=""),"",IF(I167="Ziel",Q167,IF(I167="Stop",O167,IF(J167="","",J167))))</f>
        <v/>
      </c>
      <c r="S167" s="13" t="str">
        <f aca="false">IF(R167="","",(R167-H167)*IF(M167="Long",1,-1)-2*Slippage)</f>
        <v/>
      </c>
      <c r="T167" s="14" t="str">
        <f aca="false">IF(OR(S167="",P167=0),"",S167/P167)</f>
        <v/>
      </c>
      <c r="U167" s="15" t="str">
        <f aca="false">IF(S167="","",S167*Punktwert*Kontrakte-Kommission*Kontrakte)</f>
        <v/>
      </c>
      <c r="V167" s="15" t="str">
        <f aca="false">IF(U167="","",SUM($U$5:U167))</f>
        <v/>
      </c>
      <c r="W167" s="15" t="str">
        <f aca="false">IF(V167="","",MAX(0,MAX($V$5:V167)))</f>
        <v/>
      </c>
      <c r="X167" s="15" t="str">
        <f aca="false">IF(V167="","",V167-W167)</f>
        <v/>
      </c>
      <c r="Y167" s="12" t="str">
        <f aca="false">IF(N167&lt;&gt;"Trade","",IF(P167=0,"Stop = Einstieg?",IF(I167="","Ergebnis eintragen",IF(AND(I167="Zeit",J167=""),"Kurs 11:30 fehlt",IF(OR(AND(M167="Short",H167&gt;F167),AND(M167="Long",H167&lt;G167)),"Einstieg prüfen","ok")))))</f>
        <v/>
      </c>
      <c r="Z167" s="16" t="str">
        <f aca="false">IF(A167="","",WEEKDAY(A167,2))</f>
        <v/>
      </c>
    </row>
    <row r="168" customFormat="false" ht="15" hidden="false" customHeight="false" outlineLevel="0" collapsed="false">
      <c r="A168" s="8"/>
      <c r="B168" s="9"/>
      <c r="C168" s="9"/>
      <c r="D168" s="9"/>
      <c r="E168" s="9"/>
      <c r="F168" s="9"/>
      <c r="G168" s="9"/>
      <c r="H168" s="9"/>
      <c r="I168" s="10"/>
      <c r="J168" s="9"/>
      <c r="K168" s="10"/>
      <c r="L168" s="11" t="str">
        <f aca="false">IF(OR(B168="",C168=""),"",(C168-B168)/B168)</f>
        <v/>
      </c>
      <c r="M168" s="12" t="str">
        <f aca="false">IF(L168="","",IF(ABS(L168)&lt;MinDrive,"kein Trade",IF(L168&gt;0,"Short","Long")))</f>
        <v/>
      </c>
      <c r="N168" s="12" t="str">
        <f aca="false">IF(OR(M168="",M168="kein Trade"),"",IF(H168="","kein Signal","Trade"))</f>
        <v/>
      </c>
      <c r="O168" s="13" t="str">
        <f aca="false">IF(N168&lt;&gt;"Trade","",IF(M168="Short",D168,E168))</f>
        <v/>
      </c>
      <c r="P168" s="13" t="str">
        <f aca="false">IF(N168&lt;&gt;"Trade","",ABS(H168-O168))</f>
        <v/>
      </c>
      <c r="Q168" s="13" t="str">
        <f aca="false">IF(N168&lt;&gt;"Trade","",H168+IF(M168="Long",1,-1)*ZielR*P168)</f>
        <v/>
      </c>
      <c r="R168" s="13" t="str">
        <f aca="false">IF(OR(N168&lt;&gt;"Trade",I168=""),"",IF(I168="Ziel",Q168,IF(I168="Stop",O168,IF(J168="","",J168))))</f>
        <v/>
      </c>
      <c r="S168" s="13" t="str">
        <f aca="false">IF(R168="","",(R168-H168)*IF(M168="Long",1,-1)-2*Slippage)</f>
        <v/>
      </c>
      <c r="T168" s="14" t="str">
        <f aca="false">IF(OR(S168="",P168=0),"",S168/P168)</f>
        <v/>
      </c>
      <c r="U168" s="15" t="str">
        <f aca="false">IF(S168="","",S168*Punktwert*Kontrakte-Kommission*Kontrakte)</f>
        <v/>
      </c>
      <c r="V168" s="15" t="str">
        <f aca="false">IF(U168="","",SUM($U$5:U168))</f>
        <v/>
      </c>
      <c r="W168" s="15" t="str">
        <f aca="false">IF(V168="","",MAX(0,MAX($V$5:V168)))</f>
        <v/>
      </c>
      <c r="X168" s="15" t="str">
        <f aca="false">IF(V168="","",V168-W168)</f>
        <v/>
      </c>
      <c r="Y168" s="12" t="str">
        <f aca="false">IF(N168&lt;&gt;"Trade","",IF(P168=0,"Stop = Einstieg?",IF(I168="","Ergebnis eintragen",IF(AND(I168="Zeit",J168=""),"Kurs 11:30 fehlt",IF(OR(AND(M168="Short",H168&gt;F168),AND(M168="Long",H168&lt;G168)),"Einstieg prüfen","ok")))))</f>
        <v/>
      </c>
      <c r="Z168" s="16" t="str">
        <f aca="false">IF(A168="","",WEEKDAY(A168,2))</f>
        <v/>
      </c>
    </row>
    <row r="169" customFormat="false" ht="15" hidden="false" customHeight="false" outlineLevel="0" collapsed="false">
      <c r="A169" s="8"/>
      <c r="B169" s="9"/>
      <c r="C169" s="9"/>
      <c r="D169" s="9"/>
      <c r="E169" s="9"/>
      <c r="F169" s="9"/>
      <c r="G169" s="9"/>
      <c r="H169" s="9"/>
      <c r="I169" s="10"/>
      <c r="J169" s="9"/>
      <c r="K169" s="10"/>
      <c r="L169" s="11" t="str">
        <f aca="false">IF(OR(B169="",C169=""),"",(C169-B169)/B169)</f>
        <v/>
      </c>
      <c r="M169" s="12" t="str">
        <f aca="false">IF(L169="","",IF(ABS(L169)&lt;MinDrive,"kein Trade",IF(L169&gt;0,"Short","Long")))</f>
        <v/>
      </c>
      <c r="N169" s="12" t="str">
        <f aca="false">IF(OR(M169="",M169="kein Trade"),"",IF(H169="","kein Signal","Trade"))</f>
        <v/>
      </c>
      <c r="O169" s="13" t="str">
        <f aca="false">IF(N169&lt;&gt;"Trade","",IF(M169="Short",D169,E169))</f>
        <v/>
      </c>
      <c r="P169" s="13" t="str">
        <f aca="false">IF(N169&lt;&gt;"Trade","",ABS(H169-O169))</f>
        <v/>
      </c>
      <c r="Q169" s="13" t="str">
        <f aca="false">IF(N169&lt;&gt;"Trade","",H169+IF(M169="Long",1,-1)*ZielR*P169)</f>
        <v/>
      </c>
      <c r="R169" s="13" t="str">
        <f aca="false">IF(OR(N169&lt;&gt;"Trade",I169=""),"",IF(I169="Ziel",Q169,IF(I169="Stop",O169,IF(J169="","",J169))))</f>
        <v/>
      </c>
      <c r="S169" s="13" t="str">
        <f aca="false">IF(R169="","",(R169-H169)*IF(M169="Long",1,-1)-2*Slippage)</f>
        <v/>
      </c>
      <c r="T169" s="14" t="str">
        <f aca="false">IF(OR(S169="",P169=0),"",S169/P169)</f>
        <v/>
      </c>
      <c r="U169" s="15" t="str">
        <f aca="false">IF(S169="","",S169*Punktwert*Kontrakte-Kommission*Kontrakte)</f>
        <v/>
      </c>
      <c r="V169" s="15" t="str">
        <f aca="false">IF(U169="","",SUM($U$5:U169))</f>
        <v/>
      </c>
      <c r="W169" s="15" t="str">
        <f aca="false">IF(V169="","",MAX(0,MAX($V$5:V169)))</f>
        <v/>
      </c>
      <c r="X169" s="15" t="str">
        <f aca="false">IF(V169="","",V169-W169)</f>
        <v/>
      </c>
      <c r="Y169" s="12" t="str">
        <f aca="false">IF(N169&lt;&gt;"Trade","",IF(P169=0,"Stop = Einstieg?",IF(I169="","Ergebnis eintragen",IF(AND(I169="Zeit",J169=""),"Kurs 11:30 fehlt",IF(OR(AND(M169="Short",H169&gt;F169),AND(M169="Long",H169&lt;G169)),"Einstieg prüfen","ok")))))</f>
        <v/>
      </c>
      <c r="Z169" s="16" t="str">
        <f aca="false">IF(A169="","",WEEKDAY(A169,2))</f>
        <v/>
      </c>
    </row>
    <row r="170" customFormat="false" ht="15" hidden="false" customHeight="false" outlineLevel="0" collapsed="false">
      <c r="A170" s="8"/>
      <c r="B170" s="9"/>
      <c r="C170" s="9"/>
      <c r="D170" s="9"/>
      <c r="E170" s="9"/>
      <c r="F170" s="9"/>
      <c r="G170" s="9"/>
      <c r="H170" s="9"/>
      <c r="I170" s="10"/>
      <c r="J170" s="9"/>
      <c r="K170" s="10"/>
      <c r="L170" s="11" t="str">
        <f aca="false">IF(OR(B170="",C170=""),"",(C170-B170)/B170)</f>
        <v/>
      </c>
      <c r="M170" s="12" t="str">
        <f aca="false">IF(L170="","",IF(ABS(L170)&lt;MinDrive,"kein Trade",IF(L170&gt;0,"Short","Long")))</f>
        <v/>
      </c>
      <c r="N170" s="12" t="str">
        <f aca="false">IF(OR(M170="",M170="kein Trade"),"",IF(H170="","kein Signal","Trade"))</f>
        <v/>
      </c>
      <c r="O170" s="13" t="str">
        <f aca="false">IF(N170&lt;&gt;"Trade","",IF(M170="Short",D170,E170))</f>
        <v/>
      </c>
      <c r="P170" s="13" t="str">
        <f aca="false">IF(N170&lt;&gt;"Trade","",ABS(H170-O170))</f>
        <v/>
      </c>
      <c r="Q170" s="13" t="str">
        <f aca="false">IF(N170&lt;&gt;"Trade","",H170+IF(M170="Long",1,-1)*ZielR*P170)</f>
        <v/>
      </c>
      <c r="R170" s="13" t="str">
        <f aca="false">IF(OR(N170&lt;&gt;"Trade",I170=""),"",IF(I170="Ziel",Q170,IF(I170="Stop",O170,IF(J170="","",J170))))</f>
        <v/>
      </c>
      <c r="S170" s="13" t="str">
        <f aca="false">IF(R170="","",(R170-H170)*IF(M170="Long",1,-1)-2*Slippage)</f>
        <v/>
      </c>
      <c r="T170" s="14" t="str">
        <f aca="false">IF(OR(S170="",P170=0),"",S170/P170)</f>
        <v/>
      </c>
      <c r="U170" s="15" t="str">
        <f aca="false">IF(S170="","",S170*Punktwert*Kontrakte-Kommission*Kontrakte)</f>
        <v/>
      </c>
      <c r="V170" s="15" t="str">
        <f aca="false">IF(U170="","",SUM($U$5:U170))</f>
        <v/>
      </c>
      <c r="W170" s="15" t="str">
        <f aca="false">IF(V170="","",MAX(0,MAX($V$5:V170)))</f>
        <v/>
      </c>
      <c r="X170" s="15" t="str">
        <f aca="false">IF(V170="","",V170-W170)</f>
        <v/>
      </c>
      <c r="Y170" s="12" t="str">
        <f aca="false">IF(N170&lt;&gt;"Trade","",IF(P170=0,"Stop = Einstieg?",IF(I170="","Ergebnis eintragen",IF(AND(I170="Zeit",J170=""),"Kurs 11:30 fehlt",IF(OR(AND(M170="Short",H170&gt;F170),AND(M170="Long",H170&lt;G170)),"Einstieg prüfen","ok")))))</f>
        <v/>
      </c>
      <c r="Z170" s="16" t="str">
        <f aca="false">IF(A170="","",WEEKDAY(A170,2))</f>
        <v/>
      </c>
    </row>
    <row r="171" customFormat="false" ht="15" hidden="false" customHeight="false" outlineLevel="0" collapsed="false">
      <c r="A171" s="8"/>
      <c r="B171" s="9"/>
      <c r="C171" s="9"/>
      <c r="D171" s="9"/>
      <c r="E171" s="9"/>
      <c r="F171" s="9"/>
      <c r="G171" s="9"/>
      <c r="H171" s="9"/>
      <c r="I171" s="10"/>
      <c r="J171" s="9"/>
      <c r="K171" s="10"/>
      <c r="L171" s="11" t="str">
        <f aca="false">IF(OR(B171="",C171=""),"",(C171-B171)/B171)</f>
        <v/>
      </c>
      <c r="M171" s="12" t="str">
        <f aca="false">IF(L171="","",IF(ABS(L171)&lt;MinDrive,"kein Trade",IF(L171&gt;0,"Short","Long")))</f>
        <v/>
      </c>
      <c r="N171" s="12" t="str">
        <f aca="false">IF(OR(M171="",M171="kein Trade"),"",IF(H171="","kein Signal","Trade"))</f>
        <v/>
      </c>
      <c r="O171" s="13" t="str">
        <f aca="false">IF(N171&lt;&gt;"Trade","",IF(M171="Short",D171,E171))</f>
        <v/>
      </c>
      <c r="P171" s="13" t="str">
        <f aca="false">IF(N171&lt;&gt;"Trade","",ABS(H171-O171))</f>
        <v/>
      </c>
      <c r="Q171" s="13" t="str">
        <f aca="false">IF(N171&lt;&gt;"Trade","",H171+IF(M171="Long",1,-1)*ZielR*P171)</f>
        <v/>
      </c>
      <c r="R171" s="13" t="str">
        <f aca="false">IF(OR(N171&lt;&gt;"Trade",I171=""),"",IF(I171="Ziel",Q171,IF(I171="Stop",O171,IF(J171="","",J171))))</f>
        <v/>
      </c>
      <c r="S171" s="13" t="str">
        <f aca="false">IF(R171="","",(R171-H171)*IF(M171="Long",1,-1)-2*Slippage)</f>
        <v/>
      </c>
      <c r="T171" s="14" t="str">
        <f aca="false">IF(OR(S171="",P171=0),"",S171/P171)</f>
        <v/>
      </c>
      <c r="U171" s="15" t="str">
        <f aca="false">IF(S171="","",S171*Punktwert*Kontrakte-Kommission*Kontrakte)</f>
        <v/>
      </c>
      <c r="V171" s="15" t="str">
        <f aca="false">IF(U171="","",SUM($U$5:U171))</f>
        <v/>
      </c>
      <c r="W171" s="15" t="str">
        <f aca="false">IF(V171="","",MAX(0,MAX($V$5:V171)))</f>
        <v/>
      </c>
      <c r="X171" s="15" t="str">
        <f aca="false">IF(V171="","",V171-W171)</f>
        <v/>
      </c>
      <c r="Y171" s="12" t="str">
        <f aca="false">IF(N171&lt;&gt;"Trade","",IF(P171=0,"Stop = Einstieg?",IF(I171="","Ergebnis eintragen",IF(AND(I171="Zeit",J171=""),"Kurs 11:30 fehlt",IF(OR(AND(M171="Short",H171&gt;F171),AND(M171="Long",H171&lt;G171)),"Einstieg prüfen","ok")))))</f>
        <v/>
      </c>
      <c r="Z171" s="16" t="str">
        <f aca="false">IF(A171="","",WEEKDAY(A171,2))</f>
        <v/>
      </c>
    </row>
    <row r="172" customFormat="false" ht="15" hidden="false" customHeight="false" outlineLevel="0" collapsed="false">
      <c r="A172" s="8"/>
      <c r="B172" s="9"/>
      <c r="C172" s="9"/>
      <c r="D172" s="9"/>
      <c r="E172" s="9"/>
      <c r="F172" s="9"/>
      <c r="G172" s="9"/>
      <c r="H172" s="9"/>
      <c r="I172" s="10"/>
      <c r="J172" s="9"/>
      <c r="K172" s="10"/>
      <c r="L172" s="11" t="str">
        <f aca="false">IF(OR(B172="",C172=""),"",(C172-B172)/B172)</f>
        <v/>
      </c>
      <c r="M172" s="12" t="str">
        <f aca="false">IF(L172="","",IF(ABS(L172)&lt;MinDrive,"kein Trade",IF(L172&gt;0,"Short","Long")))</f>
        <v/>
      </c>
      <c r="N172" s="12" t="str">
        <f aca="false">IF(OR(M172="",M172="kein Trade"),"",IF(H172="","kein Signal","Trade"))</f>
        <v/>
      </c>
      <c r="O172" s="13" t="str">
        <f aca="false">IF(N172&lt;&gt;"Trade","",IF(M172="Short",D172,E172))</f>
        <v/>
      </c>
      <c r="P172" s="13" t="str">
        <f aca="false">IF(N172&lt;&gt;"Trade","",ABS(H172-O172))</f>
        <v/>
      </c>
      <c r="Q172" s="13" t="str">
        <f aca="false">IF(N172&lt;&gt;"Trade","",H172+IF(M172="Long",1,-1)*ZielR*P172)</f>
        <v/>
      </c>
      <c r="R172" s="13" t="str">
        <f aca="false">IF(OR(N172&lt;&gt;"Trade",I172=""),"",IF(I172="Ziel",Q172,IF(I172="Stop",O172,IF(J172="","",J172))))</f>
        <v/>
      </c>
      <c r="S172" s="13" t="str">
        <f aca="false">IF(R172="","",(R172-H172)*IF(M172="Long",1,-1)-2*Slippage)</f>
        <v/>
      </c>
      <c r="T172" s="14" t="str">
        <f aca="false">IF(OR(S172="",P172=0),"",S172/P172)</f>
        <v/>
      </c>
      <c r="U172" s="15" t="str">
        <f aca="false">IF(S172="","",S172*Punktwert*Kontrakte-Kommission*Kontrakte)</f>
        <v/>
      </c>
      <c r="V172" s="15" t="str">
        <f aca="false">IF(U172="","",SUM($U$5:U172))</f>
        <v/>
      </c>
      <c r="W172" s="15" t="str">
        <f aca="false">IF(V172="","",MAX(0,MAX($V$5:V172)))</f>
        <v/>
      </c>
      <c r="X172" s="15" t="str">
        <f aca="false">IF(V172="","",V172-W172)</f>
        <v/>
      </c>
      <c r="Y172" s="12" t="str">
        <f aca="false">IF(N172&lt;&gt;"Trade","",IF(P172=0,"Stop = Einstieg?",IF(I172="","Ergebnis eintragen",IF(AND(I172="Zeit",J172=""),"Kurs 11:30 fehlt",IF(OR(AND(M172="Short",H172&gt;F172),AND(M172="Long",H172&lt;G172)),"Einstieg prüfen","ok")))))</f>
        <v/>
      </c>
      <c r="Z172" s="16" t="str">
        <f aca="false">IF(A172="","",WEEKDAY(A172,2))</f>
        <v/>
      </c>
    </row>
    <row r="173" customFormat="false" ht="15" hidden="false" customHeight="false" outlineLevel="0" collapsed="false">
      <c r="A173" s="8"/>
      <c r="B173" s="9"/>
      <c r="C173" s="9"/>
      <c r="D173" s="9"/>
      <c r="E173" s="9"/>
      <c r="F173" s="9"/>
      <c r="G173" s="9"/>
      <c r="H173" s="9"/>
      <c r="I173" s="10"/>
      <c r="J173" s="9"/>
      <c r="K173" s="10"/>
      <c r="L173" s="11" t="str">
        <f aca="false">IF(OR(B173="",C173=""),"",(C173-B173)/B173)</f>
        <v/>
      </c>
      <c r="M173" s="12" t="str">
        <f aca="false">IF(L173="","",IF(ABS(L173)&lt;MinDrive,"kein Trade",IF(L173&gt;0,"Short","Long")))</f>
        <v/>
      </c>
      <c r="N173" s="12" t="str">
        <f aca="false">IF(OR(M173="",M173="kein Trade"),"",IF(H173="","kein Signal","Trade"))</f>
        <v/>
      </c>
      <c r="O173" s="13" t="str">
        <f aca="false">IF(N173&lt;&gt;"Trade","",IF(M173="Short",D173,E173))</f>
        <v/>
      </c>
      <c r="P173" s="13" t="str">
        <f aca="false">IF(N173&lt;&gt;"Trade","",ABS(H173-O173))</f>
        <v/>
      </c>
      <c r="Q173" s="13" t="str">
        <f aca="false">IF(N173&lt;&gt;"Trade","",H173+IF(M173="Long",1,-1)*ZielR*P173)</f>
        <v/>
      </c>
      <c r="R173" s="13" t="str">
        <f aca="false">IF(OR(N173&lt;&gt;"Trade",I173=""),"",IF(I173="Ziel",Q173,IF(I173="Stop",O173,IF(J173="","",J173))))</f>
        <v/>
      </c>
      <c r="S173" s="13" t="str">
        <f aca="false">IF(R173="","",(R173-H173)*IF(M173="Long",1,-1)-2*Slippage)</f>
        <v/>
      </c>
      <c r="T173" s="14" t="str">
        <f aca="false">IF(OR(S173="",P173=0),"",S173/P173)</f>
        <v/>
      </c>
      <c r="U173" s="15" t="str">
        <f aca="false">IF(S173="","",S173*Punktwert*Kontrakte-Kommission*Kontrakte)</f>
        <v/>
      </c>
      <c r="V173" s="15" t="str">
        <f aca="false">IF(U173="","",SUM($U$5:U173))</f>
        <v/>
      </c>
      <c r="W173" s="15" t="str">
        <f aca="false">IF(V173="","",MAX(0,MAX($V$5:V173)))</f>
        <v/>
      </c>
      <c r="X173" s="15" t="str">
        <f aca="false">IF(V173="","",V173-W173)</f>
        <v/>
      </c>
      <c r="Y173" s="12" t="str">
        <f aca="false">IF(N173&lt;&gt;"Trade","",IF(P173=0,"Stop = Einstieg?",IF(I173="","Ergebnis eintragen",IF(AND(I173="Zeit",J173=""),"Kurs 11:30 fehlt",IF(OR(AND(M173="Short",H173&gt;F173),AND(M173="Long",H173&lt;G173)),"Einstieg prüfen","ok")))))</f>
        <v/>
      </c>
      <c r="Z173" s="16" t="str">
        <f aca="false">IF(A173="","",WEEKDAY(A173,2))</f>
        <v/>
      </c>
    </row>
    <row r="174" customFormat="false" ht="15" hidden="false" customHeight="false" outlineLevel="0" collapsed="false">
      <c r="A174" s="8"/>
      <c r="B174" s="9"/>
      <c r="C174" s="9"/>
      <c r="D174" s="9"/>
      <c r="E174" s="9"/>
      <c r="F174" s="9"/>
      <c r="G174" s="9"/>
      <c r="H174" s="9"/>
      <c r="I174" s="10"/>
      <c r="J174" s="9"/>
      <c r="K174" s="10"/>
      <c r="L174" s="11" t="str">
        <f aca="false">IF(OR(B174="",C174=""),"",(C174-B174)/B174)</f>
        <v/>
      </c>
      <c r="M174" s="12" t="str">
        <f aca="false">IF(L174="","",IF(ABS(L174)&lt;MinDrive,"kein Trade",IF(L174&gt;0,"Short","Long")))</f>
        <v/>
      </c>
      <c r="N174" s="12" t="str">
        <f aca="false">IF(OR(M174="",M174="kein Trade"),"",IF(H174="","kein Signal","Trade"))</f>
        <v/>
      </c>
      <c r="O174" s="13" t="str">
        <f aca="false">IF(N174&lt;&gt;"Trade","",IF(M174="Short",D174,E174))</f>
        <v/>
      </c>
      <c r="P174" s="13" t="str">
        <f aca="false">IF(N174&lt;&gt;"Trade","",ABS(H174-O174))</f>
        <v/>
      </c>
      <c r="Q174" s="13" t="str">
        <f aca="false">IF(N174&lt;&gt;"Trade","",H174+IF(M174="Long",1,-1)*ZielR*P174)</f>
        <v/>
      </c>
      <c r="R174" s="13" t="str">
        <f aca="false">IF(OR(N174&lt;&gt;"Trade",I174=""),"",IF(I174="Ziel",Q174,IF(I174="Stop",O174,IF(J174="","",J174))))</f>
        <v/>
      </c>
      <c r="S174" s="13" t="str">
        <f aca="false">IF(R174="","",(R174-H174)*IF(M174="Long",1,-1)-2*Slippage)</f>
        <v/>
      </c>
      <c r="T174" s="14" t="str">
        <f aca="false">IF(OR(S174="",P174=0),"",S174/P174)</f>
        <v/>
      </c>
      <c r="U174" s="15" t="str">
        <f aca="false">IF(S174="","",S174*Punktwert*Kontrakte-Kommission*Kontrakte)</f>
        <v/>
      </c>
      <c r="V174" s="15" t="str">
        <f aca="false">IF(U174="","",SUM($U$5:U174))</f>
        <v/>
      </c>
      <c r="W174" s="15" t="str">
        <f aca="false">IF(V174="","",MAX(0,MAX($V$5:V174)))</f>
        <v/>
      </c>
      <c r="X174" s="15" t="str">
        <f aca="false">IF(V174="","",V174-W174)</f>
        <v/>
      </c>
      <c r="Y174" s="12" t="str">
        <f aca="false">IF(N174&lt;&gt;"Trade","",IF(P174=0,"Stop = Einstieg?",IF(I174="","Ergebnis eintragen",IF(AND(I174="Zeit",J174=""),"Kurs 11:30 fehlt",IF(OR(AND(M174="Short",H174&gt;F174),AND(M174="Long",H174&lt;G174)),"Einstieg prüfen","ok")))))</f>
        <v/>
      </c>
      <c r="Z174" s="16" t="str">
        <f aca="false">IF(A174="","",WEEKDAY(A174,2))</f>
        <v/>
      </c>
    </row>
    <row r="175" customFormat="false" ht="15" hidden="false" customHeight="false" outlineLevel="0" collapsed="false">
      <c r="A175" s="8"/>
      <c r="B175" s="9"/>
      <c r="C175" s="9"/>
      <c r="D175" s="9"/>
      <c r="E175" s="9"/>
      <c r="F175" s="9"/>
      <c r="G175" s="9"/>
      <c r="H175" s="9"/>
      <c r="I175" s="10"/>
      <c r="J175" s="9"/>
      <c r="K175" s="10"/>
      <c r="L175" s="11" t="str">
        <f aca="false">IF(OR(B175="",C175=""),"",(C175-B175)/B175)</f>
        <v/>
      </c>
      <c r="M175" s="12" t="str">
        <f aca="false">IF(L175="","",IF(ABS(L175)&lt;MinDrive,"kein Trade",IF(L175&gt;0,"Short","Long")))</f>
        <v/>
      </c>
      <c r="N175" s="12" t="str">
        <f aca="false">IF(OR(M175="",M175="kein Trade"),"",IF(H175="","kein Signal","Trade"))</f>
        <v/>
      </c>
      <c r="O175" s="13" t="str">
        <f aca="false">IF(N175&lt;&gt;"Trade","",IF(M175="Short",D175,E175))</f>
        <v/>
      </c>
      <c r="P175" s="13" t="str">
        <f aca="false">IF(N175&lt;&gt;"Trade","",ABS(H175-O175))</f>
        <v/>
      </c>
      <c r="Q175" s="13" t="str">
        <f aca="false">IF(N175&lt;&gt;"Trade","",H175+IF(M175="Long",1,-1)*ZielR*P175)</f>
        <v/>
      </c>
      <c r="R175" s="13" t="str">
        <f aca="false">IF(OR(N175&lt;&gt;"Trade",I175=""),"",IF(I175="Ziel",Q175,IF(I175="Stop",O175,IF(J175="","",J175))))</f>
        <v/>
      </c>
      <c r="S175" s="13" t="str">
        <f aca="false">IF(R175="","",(R175-H175)*IF(M175="Long",1,-1)-2*Slippage)</f>
        <v/>
      </c>
      <c r="T175" s="14" t="str">
        <f aca="false">IF(OR(S175="",P175=0),"",S175/P175)</f>
        <v/>
      </c>
      <c r="U175" s="15" t="str">
        <f aca="false">IF(S175="","",S175*Punktwert*Kontrakte-Kommission*Kontrakte)</f>
        <v/>
      </c>
      <c r="V175" s="15" t="str">
        <f aca="false">IF(U175="","",SUM($U$5:U175))</f>
        <v/>
      </c>
      <c r="W175" s="15" t="str">
        <f aca="false">IF(V175="","",MAX(0,MAX($V$5:V175)))</f>
        <v/>
      </c>
      <c r="X175" s="15" t="str">
        <f aca="false">IF(V175="","",V175-W175)</f>
        <v/>
      </c>
      <c r="Y175" s="12" t="str">
        <f aca="false">IF(N175&lt;&gt;"Trade","",IF(P175=0,"Stop = Einstieg?",IF(I175="","Ergebnis eintragen",IF(AND(I175="Zeit",J175=""),"Kurs 11:30 fehlt",IF(OR(AND(M175="Short",H175&gt;F175),AND(M175="Long",H175&lt;G175)),"Einstieg prüfen","ok")))))</f>
        <v/>
      </c>
      <c r="Z175" s="16" t="str">
        <f aca="false">IF(A175="","",WEEKDAY(A175,2))</f>
        <v/>
      </c>
    </row>
    <row r="176" customFormat="false" ht="15" hidden="false" customHeight="false" outlineLevel="0" collapsed="false">
      <c r="A176" s="8"/>
      <c r="B176" s="9"/>
      <c r="C176" s="9"/>
      <c r="D176" s="9"/>
      <c r="E176" s="9"/>
      <c r="F176" s="9"/>
      <c r="G176" s="9"/>
      <c r="H176" s="9"/>
      <c r="I176" s="10"/>
      <c r="J176" s="9"/>
      <c r="K176" s="10"/>
      <c r="L176" s="11" t="str">
        <f aca="false">IF(OR(B176="",C176=""),"",(C176-B176)/B176)</f>
        <v/>
      </c>
      <c r="M176" s="12" t="str">
        <f aca="false">IF(L176="","",IF(ABS(L176)&lt;MinDrive,"kein Trade",IF(L176&gt;0,"Short","Long")))</f>
        <v/>
      </c>
      <c r="N176" s="12" t="str">
        <f aca="false">IF(OR(M176="",M176="kein Trade"),"",IF(H176="","kein Signal","Trade"))</f>
        <v/>
      </c>
      <c r="O176" s="13" t="str">
        <f aca="false">IF(N176&lt;&gt;"Trade","",IF(M176="Short",D176,E176))</f>
        <v/>
      </c>
      <c r="P176" s="13" t="str">
        <f aca="false">IF(N176&lt;&gt;"Trade","",ABS(H176-O176))</f>
        <v/>
      </c>
      <c r="Q176" s="13" t="str">
        <f aca="false">IF(N176&lt;&gt;"Trade","",H176+IF(M176="Long",1,-1)*ZielR*P176)</f>
        <v/>
      </c>
      <c r="R176" s="13" t="str">
        <f aca="false">IF(OR(N176&lt;&gt;"Trade",I176=""),"",IF(I176="Ziel",Q176,IF(I176="Stop",O176,IF(J176="","",J176))))</f>
        <v/>
      </c>
      <c r="S176" s="13" t="str">
        <f aca="false">IF(R176="","",(R176-H176)*IF(M176="Long",1,-1)-2*Slippage)</f>
        <v/>
      </c>
      <c r="T176" s="14" t="str">
        <f aca="false">IF(OR(S176="",P176=0),"",S176/P176)</f>
        <v/>
      </c>
      <c r="U176" s="15" t="str">
        <f aca="false">IF(S176="","",S176*Punktwert*Kontrakte-Kommission*Kontrakte)</f>
        <v/>
      </c>
      <c r="V176" s="15" t="str">
        <f aca="false">IF(U176="","",SUM($U$5:U176))</f>
        <v/>
      </c>
      <c r="W176" s="15" t="str">
        <f aca="false">IF(V176="","",MAX(0,MAX($V$5:V176)))</f>
        <v/>
      </c>
      <c r="X176" s="15" t="str">
        <f aca="false">IF(V176="","",V176-W176)</f>
        <v/>
      </c>
      <c r="Y176" s="12" t="str">
        <f aca="false">IF(N176&lt;&gt;"Trade","",IF(P176=0,"Stop = Einstieg?",IF(I176="","Ergebnis eintragen",IF(AND(I176="Zeit",J176=""),"Kurs 11:30 fehlt",IF(OR(AND(M176="Short",H176&gt;F176),AND(M176="Long",H176&lt;G176)),"Einstieg prüfen","ok")))))</f>
        <v/>
      </c>
      <c r="Z176" s="16" t="str">
        <f aca="false">IF(A176="","",WEEKDAY(A176,2))</f>
        <v/>
      </c>
    </row>
    <row r="177" customFormat="false" ht="15" hidden="false" customHeight="false" outlineLevel="0" collapsed="false">
      <c r="A177" s="8"/>
      <c r="B177" s="9"/>
      <c r="C177" s="9"/>
      <c r="D177" s="9"/>
      <c r="E177" s="9"/>
      <c r="F177" s="9"/>
      <c r="G177" s="9"/>
      <c r="H177" s="9"/>
      <c r="I177" s="10"/>
      <c r="J177" s="9"/>
      <c r="K177" s="10"/>
      <c r="L177" s="11" t="str">
        <f aca="false">IF(OR(B177="",C177=""),"",(C177-B177)/B177)</f>
        <v/>
      </c>
      <c r="M177" s="12" t="str">
        <f aca="false">IF(L177="","",IF(ABS(L177)&lt;MinDrive,"kein Trade",IF(L177&gt;0,"Short","Long")))</f>
        <v/>
      </c>
      <c r="N177" s="12" t="str">
        <f aca="false">IF(OR(M177="",M177="kein Trade"),"",IF(H177="","kein Signal","Trade"))</f>
        <v/>
      </c>
      <c r="O177" s="13" t="str">
        <f aca="false">IF(N177&lt;&gt;"Trade","",IF(M177="Short",D177,E177))</f>
        <v/>
      </c>
      <c r="P177" s="13" t="str">
        <f aca="false">IF(N177&lt;&gt;"Trade","",ABS(H177-O177))</f>
        <v/>
      </c>
      <c r="Q177" s="13" t="str">
        <f aca="false">IF(N177&lt;&gt;"Trade","",H177+IF(M177="Long",1,-1)*ZielR*P177)</f>
        <v/>
      </c>
      <c r="R177" s="13" t="str">
        <f aca="false">IF(OR(N177&lt;&gt;"Trade",I177=""),"",IF(I177="Ziel",Q177,IF(I177="Stop",O177,IF(J177="","",J177))))</f>
        <v/>
      </c>
      <c r="S177" s="13" t="str">
        <f aca="false">IF(R177="","",(R177-H177)*IF(M177="Long",1,-1)-2*Slippage)</f>
        <v/>
      </c>
      <c r="T177" s="14" t="str">
        <f aca="false">IF(OR(S177="",P177=0),"",S177/P177)</f>
        <v/>
      </c>
      <c r="U177" s="15" t="str">
        <f aca="false">IF(S177="","",S177*Punktwert*Kontrakte-Kommission*Kontrakte)</f>
        <v/>
      </c>
      <c r="V177" s="15" t="str">
        <f aca="false">IF(U177="","",SUM($U$5:U177))</f>
        <v/>
      </c>
      <c r="W177" s="15" t="str">
        <f aca="false">IF(V177="","",MAX(0,MAX($V$5:V177)))</f>
        <v/>
      </c>
      <c r="X177" s="15" t="str">
        <f aca="false">IF(V177="","",V177-W177)</f>
        <v/>
      </c>
      <c r="Y177" s="12" t="str">
        <f aca="false">IF(N177&lt;&gt;"Trade","",IF(P177=0,"Stop = Einstieg?",IF(I177="","Ergebnis eintragen",IF(AND(I177="Zeit",J177=""),"Kurs 11:30 fehlt",IF(OR(AND(M177="Short",H177&gt;F177),AND(M177="Long",H177&lt;G177)),"Einstieg prüfen","ok")))))</f>
        <v/>
      </c>
      <c r="Z177" s="16" t="str">
        <f aca="false">IF(A177="","",WEEKDAY(A177,2))</f>
        <v/>
      </c>
    </row>
    <row r="178" customFormat="false" ht="15" hidden="false" customHeight="false" outlineLevel="0" collapsed="false">
      <c r="A178" s="8"/>
      <c r="B178" s="9"/>
      <c r="C178" s="9"/>
      <c r="D178" s="9"/>
      <c r="E178" s="9"/>
      <c r="F178" s="9"/>
      <c r="G178" s="9"/>
      <c r="H178" s="9"/>
      <c r="I178" s="10"/>
      <c r="J178" s="9"/>
      <c r="K178" s="10"/>
      <c r="L178" s="11" t="str">
        <f aca="false">IF(OR(B178="",C178=""),"",(C178-B178)/B178)</f>
        <v/>
      </c>
      <c r="M178" s="12" t="str">
        <f aca="false">IF(L178="","",IF(ABS(L178)&lt;MinDrive,"kein Trade",IF(L178&gt;0,"Short","Long")))</f>
        <v/>
      </c>
      <c r="N178" s="12" t="str">
        <f aca="false">IF(OR(M178="",M178="kein Trade"),"",IF(H178="","kein Signal","Trade"))</f>
        <v/>
      </c>
      <c r="O178" s="13" t="str">
        <f aca="false">IF(N178&lt;&gt;"Trade","",IF(M178="Short",D178,E178))</f>
        <v/>
      </c>
      <c r="P178" s="13" t="str">
        <f aca="false">IF(N178&lt;&gt;"Trade","",ABS(H178-O178))</f>
        <v/>
      </c>
      <c r="Q178" s="13" t="str">
        <f aca="false">IF(N178&lt;&gt;"Trade","",H178+IF(M178="Long",1,-1)*ZielR*P178)</f>
        <v/>
      </c>
      <c r="R178" s="13" t="str">
        <f aca="false">IF(OR(N178&lt;&gt;"Trade",I178=""),"",IF(I178="Ziel",Q178,IF(I178="Stop",O178,IF(J178="","",J178))))</f>
        <v/>
      </c>
      <c r="S178" s="13" t="str">
        <f aca="false">IF(R178="","",(R178-H178)*IF(M178="Long",1,-1)-2*Slippage)</f>
        <v/>
      </c>
      <c r="T178" s="14" t="str">
        <f aca="false">IF(OR(S178="",P178=0),"",S178/P178)</f>
        <v/>
      </c>
      <c r="U178" s="15" t="str">
        <f aca="false">IF(S178="","",S178*Punktwert*Kontrakte-Kommission*Kontrakte)</f>
        <v/>
      </c>
      <c r="V178" s="15" t="str">
        <f aca="false">IF(U178="","",SUM($U$5:U178))</f>
        <v/>
      </c>
      <c r="W178" s="15" t="str">
        <f aca="false">IF(V178="","",MAX(0,MAX($V$5:V178)))</f>
        <v/>
      </c>
      <c r="X178" s="15" t="str">
        <f aca="false">IF(V178="","",V178-W178)</f>
        <v/>
      </c>
      <c r="Y178" s="12" t="str">
        <f aca="false">IF(N178&lt;&gt;"Trade","",IF(P178=0,"Stop = Einstieg?",IF(I178="","Ergebnis eintragen",IF(AND(I178="Zeit",J178=""),"Kurs 11:30 fehlt",IF(OR(AND(M178="Short",H178&gt;F178),AND(M178="Long",H178&lt;G178)),"Einstieg prüfen","ok")))))</f>
        <v/>
      </c>
      <c r="Z178" s="16" t="str">
        <f aca="false">IF(A178="","",WEEKDAY(A178,2))</f>
        <v/>
      </c>
    </row>
    <row r="179" customFormat="false" ht="15" hidden="false" customHeight="false" outlineLevel="0" collapsed="false">
      <c r="A179" s="8"/>
      <c r="B179" s="9"/>
      <c r="C179" s="9"/>
      <c r="D179" s="9"/>
      <c r="E179" s="9"/>
      <c r="F179" s="9"/>
      <c r="G179" s="9"/>
      <c r="H179" s="9"/>
      <c r="I179" s="10"/>
      <c r="J179" s="9"/>
      <c r="K179" s="10"/>
      <c r="L179" s="11" t="str">
        <f aca="false">IF(OR(B179="",C179=""),"",(C179-B179)/B179)</f>
        <v/>
      </c>
      <c r="M179" s="12" t="str">
        <f aca="false">IF(L179="","",IF(ABS(L179)&lt;MinDrive,"kein Trade",IF(L179&gt;0,"Short","Long")))</f>
        <v/>
      </c>
      <c r="N179" s="12" t="str">
        <f aca="false">IF(OR(M179="",M179="kein Trade"),"",IF(H179="","kein Signal","Trade"))</f>
        <v/>
      </c>
      <c r="O179" s="13" t="str">
        <f aca="false">IF(N179&lt;&gt;"Trade","",IF(M179="Short",D179,E179))</f>
        <v/>
      </c>
      <c r="P179" s="13" t="str">
        <f aca="false">IF(N179&lt;&gt;"Trade","",ABS(H179-O179))</f>
        <v/>
      </c>
      <c r="Q179" s="13" t="str">
        <f aca="false">IF(N179&lt;&gt;"Trade","",H179+IF(M179="Long",1,-1)*ZielR*P179)</f>
        <v/>
      </c>
      <c r="R179" s="13" t="str">
        <f aca="false">IF(OR(N179&lt;&gt;"Trade",I179=""),"",IF(I179="Ziel",Q179,IF(I179="Stop",O179,IF(J179="","",J179))))</f>
        <v/>
      </c>
      <c r="S179" s="13" t="str">
        <f aca="false">IF(R179="","",(R179-H179)*IF(M179="Long",1,-1)-2*Slippage)</f>
        <v/>
      </c>
      <c r="T179" s="14" t="str">
        <f aca="false">IF(OR(S179="",P179=0),"",S179/P179)</f>
        <v/>
      </c>
      <c r="U179" s="15" t="str">
        <f aca="false">IF(S179="","",S179*Punktwert*Kontrakte-Kommission*Kontrakte)</f>
        <v/>
      </c>
      <c r="V179" s="15" t="str">
        <f aca="false">IF(U179="","",SUM($U$5:U179))</f>
        <v/>
      </c>
      <c r="W179" s="15" t="str">
        <f aca="false">IF(V179="","",MAX(0,MAX($V$5:V179)))</f>
        <v/>
      </c>
      <c r="X179" s="15" t="str">
        <f aca="false">IF(V179="","",V179-W179)</f>
        <v/>
      </c>
      <c r="Y179" s="12" t="str">
        <f aca="false">IF(N179&lt;&gt;"Trade","",IF(P179=0,"Stop = Einstieg?",IF(I179="","Ergebnis eintragen",IF(AND(I179="Zeit",J179=""),"Kurs 11:30 fehlt",IF(OR(AND(M179="Short",H179&gt;F179),AND(M179="Long",H179&lt;G179)),"Einstieg prüfen","ok")))))</f>
        <v/>
      </c>
      <c r="Z179" s="16" t="str">
        <f aca="false">IF(A179="","",WEEKDAY(A179,2))</f>
        <v/>
      </c>
    </row>
    <row r="180" customFormat="false" ht="15" hidden="false" customHeight="false" outlineLevel="0" collapsed="false">
      <c r="A180" s="8"/>
      <c r="B180" s="9"/>
      <c r="C180" s="9"/>
      <c r="D180" s="9"/>
      <c r="E180" s="9"/>
      <c r="F180" s="9"/>
      <c r="G180" s="9"/>
      <c r="H180" s="9"/>
      <c r="I180" s="10"/>
      <c r="J180" s="9"/>
      <c r="K180" s="10"/>
      <c r="L180" s="11" t="str">
        <f aca="false">IF(OR(B180="",C180=""),"",(C180-B180)/B180)</f>
        <v/>
      </c>
      <c r="M180" s="12" t="str">
        <f aca="false">IF(L180="","",IF(ABS(L180)&lt;MinDrive,"kein Trade",IF(L180&gt;0,"Short","Long")))</f>
        <v/>
      </c>
      <c r="N180" s="12" t="str">
        <f aca="false">IF(OR(M180="",M180="kein Trade"),"",IF(H180="","kein Signal","Trade"))</f>
        <v/>
      </c>
      <c r="O180" s="13" t="str">
        <f aca="false">IF(N180&lt;&gt;"Trade","",IF(M180="Short",D180,E180))</f>
        <v/>
      </c>
      <c r="P180" s="13" t="str">
        <f aca="false">IF(N180&lt;&gt;"Trade","",ABS(H180-O180))</f>
        <v/>
      </c>
      <c r="Q180" s="13" t="str">
        <f aca="false">IF(N180&lt;&gt;"Trade","",H180+IF(M180="Long",1,-1)*ZielR*P180)</f>
        <v/>
      </c>
      <c r="R180" s="13" t="str">
        <f aca="false">IF(OR(N180&lt;&gt;"Trade",I180=""),"",IF(I180="Ziel",Q180,IF(I180="Stop",O180,IF(J180="","",J180))))</f>
        <v/>
      </c>
      <c r="S180" s="13" t="str">
        <f aca="false">IF(R180="","",(R180-H180)*IF(M180="Long",1,-1)-2*Slippage)</f>
        <v/>
      </c>
      <c r="T180" s="14" t="str">
        <f aca="false">IF(OR(S180="",P180=0),"",S180/P180)</f>
        <v/>
      </c>
      <c r="U180" s="15" t="str">
        <f aca="false">IF(S180="","",S180*Punktwert*Kontrakte-Kommission*Kontrakte)</f>
        <v/>
      </c>
      <c r="V180" s="15" t="str">
        <f aca="false">IF(U180="","",SUM($U$5:U180))</f>
        <v/>
      </c>
      <c r="W180" s="15" t="str">
        <f aca="false">IF(V180="","",MAX(0,MAX($V$5:V180)))</f>
        <v/>
      </c>
      <c r="X180" s="15" t="str">
        <f aca="false">IF(V180="","",V180-W180)</f>
        <v/>
      </c>
      <c r="Y180" s="12" t="str">
        <f aca="false">IF(N180&lt;&gt;"Trade","",IF(P180=0,"Stop = Einstieg?",IF(I180="","Ergebnis eintragen",IF(AND(I180="Zeit",J180=""),"Kurs 11:30 fehlt",IF(OR(AND(M180="Short",H180&gt;F180),AND(M180="Long",H180&lt;G180)),"Einstieg prüfen","ok")))))</f>
        <v/>
      </c>
      <c r="Z180" s="16" t="str">
        <f aca="false">IF(A180="","",WEEKDAY(A180,2))</f>
        <v/>
      </c>
    </row>
    <row r="181" customFormat="false" ht="15" hidden="false" customHeight="false" outlineLevel="0" collapsed="false">
      <c r="A181" s="8"/>
      <c r="B181" s="9"/>
      <c r="C181" s="9"/>
      <c r="D181" s="9"/>
      <c r="E181" s="9"/>
      <c r="F181" s="9"/>
      <c r="G181" s="9"/>
      <c r="H181" s="9"/>
      <c r="I181" s="10"/>
      <c r="J181" s="9"/>
      <c r="K181" s="10"/>
      <c r="L181" s="11" t="str">
        <f aca="false">IF(OR(B181="",C181=""),"",(C181-B181)/B181)</f>
        <v/>
      </c>
      <c r="M181" s="12" t="str">
        <f aca="false">IF(L181="","",IF(ABS(L181)&lt;MinDrive,"kein Trade",IF(L181&gt;0,"Short","Long")))</f>
        <v/>
      </c>
      <c r="N181" s="12" t="str">
        <f aca="false">IF(OR(M181="",M181="kein Trade"),"",IF(H181="","kein Signal","Trade"))</f>
        <v/>
      </c>
      <c r="O181" s="13" t="str">
        <f aca="false">IF(N181&lt;&gt;"Trade","",IF(M181="Short",D181,E181))</f>
        <v/>
      </c>
      <c r="P181" s="13" t="str">
        <f aca="false">IF(N181&lt;&gt;"Trade","",ABS(H181-O181))</f>
        <v/>
      </c>
      <c r="Q181" s="13" t="str">
        <f aca="false">IF(N181&lt;&gt;"Trade","",H181+IF(M181="Long",1,-1)*ZielR*P181)</f>
        <v/>
      </c>
      <c r="R181" s="13" t="str">
        <f aca="false">IF(OR(N181&lt;&gt;"Trade",I181=""),"",IF(I181="Ziel",Q181,IF(I181="Stop",O181,IF(J181="","",J181))))</f>
        <v/>
      </c>
      <c r="S181" s="13" t="str">
        <f aca="false">IF(R181="","",(R181-H181)*IF(M181="Long",1,-1)-2*Slippage)</f>
        <v/>
      </c>
      <c r="T181" s="14" t="str">
        <f aca="false">IF(OR(S181="",P181=0),"",S181/P181)</f>
        <v/>
      </c>
      <c r="U181" s="15" t="str">
        <f aca="false">IF(S181="","",S181*Punktwert*Kontrakte-Kommission*Kontrakte)</f>
        <v/>
      </c>
      <c r="V181" s="15" t="str">
        <f aca="false">IF(U181="","",SUM($U$5:U181))</f>
        <v/>
      </c>
      <c r="W181" s="15" t="str">
        <f aca="false">IF(V181="","",MAX(0,MAX($V$5:V181)))</f>
        <v/>
      </c>
      <c r="X181" s="15" t="str">
        <f aca="false">IF(V181="","",V181-W181)</f>
        <v/>
      </c>
      <c r="Y181" s="12" t="str">
        <f aca="false">IF(N181&lt;&gt;"Trade","",IF(P181=0,"Stop = Einstieg?",IF(I181="","Ergebnis eintragen",IF(AND(I181="Zeit",J181=""),"Kurs 11:30 fehlt",IF(OR(AND(M181="Short",H181&gt;F181),AND(M181="Long",H181&lt;G181)),"Einstieg prüfen","ok")))))</f>
        <v/>
      </c>
      <c r="Z181" s="16" t="str">
        <f aca="false">IF(A181="","",WEEKDAY(A181,2))</f>
        <v/>
      </c>
    </row>
    <row r="182" customFormat="false" ht="15" hidden="false" customHeight="false" outlineLevel="0" collapsed="false">
      <c r="A182" s="8"/>
      <c r="B182" s="9"/>
      <c r="C182" s="9"/>
      <c r="D182" s="9"/>
      <c r="E182" s="9"/>
      <c r="F182" s="9"/>
      <c r="G182" s="9"/>
      <c r="H182" s="9"/>
      <c r="I182" s="10"/>
      <c r="J182" s="9"/>
      <c r="K182" s="10"/>
      <c r="L182" s="11" t="str">
        <f aca="false">IF(OR(B182="",C182=""),"",(C182-B182)/B182)</f>
        <v/>
      </c>
      <c r="M182" s="12" t="str">
        <f aca="false">IF(L182="","",IF(ABS(L182)&lt;MinDrive,"kein Trade",IF(L182&gt;0,"Short","Long")))</f>
        <v/>
      </c>
      <c r="N182" s="12" t="str">
        <f aca="false">IF(OR(M182="",M182="kein Trade"),"",IF(H182="","kein Signal","Trade"))</f>
        <v/>
      </c>
      <c r="O182" s="13" t="str">
        <f aca="false">IF(N182&lt;&gt;"Trade","",IF(M182="Short",D182,E182))</f>
        <v/>
      </c>
      <c r="P182" s="13" t="str">
        <f aca="false">IF(N182&lt;&gt;"Trade","",ABS(H182-O182))</f>
        <v/>
      </c>
      <c r="Q182" s="13" t="str">
        <f aca="false">IF(N182&lt;&gt;"Trade","",H182+IF(M182="Long",1,-1)*ZielR*P182)</f>
        <v/>
      </c>
      <c r="R182" s="13" t="str">
        <f aca="false">IF(OR(N182&lt;&gt;"Trade",I182=""),"",IF(I182="Ziel",Q182,IF(I182="Stop",O182,IF(J182="","",J182))))</f>
        <v/>
      </c>
      <c r="S182" s="13" t="str">
        <f aca="false">IF(R182="","",(R182-H182)*IF(M182="Long",1,-1)-2*Slippage)</f>
        <v/>
      </c>
      <c r="T182" s="14" t="str">
        <f aca="false">IF(OR(S182="",P182=0),"",S182/P182)</f>
        <v/>
      </c>
      <c r="U182" s="15" t="str">
        <f aca="false">IF(S182="","",S182*Punktwert*Kontrakte-Kommission*Kontrakte)</f>
        <v/>
      </c>
      <c r="V182" s="15" t="str">
        <f aca="false">IF(U182="","",SUM($U$5:U182))</f>
        <v/>
      </c>
      <c r="W182" s="15" t="str">
        <f aca="false">IF(V182="","",MAX(0,MAX($V$5:V182)))</f>
        <v/>
      </c>
      <c r="X182" s="15" t="str">
        <f aca="false">IF(V182="","",V182-W182)</f>
        <v/>
      </c>
      <c r="Y182" s="12" t="str">
        <f aca="false">IF(N182&lt;&gt;"Trade","",IF(P182=0,"Stop = Einstieg?",IF(I182="","Ergebnis eintragen",IF(AND(I182="Zeit",J182=""),"Kurs 11:30 fehlt",IF(OR(AND(M182="Short",H182&gt;F182),AND(M182="Long",H182&lt;G182)),"Einstieg prüfen","ok")))))</f>
        <v/>
      </c>
      <c r="Z182" s="16" t="str">
        <f aca="false">IF(A182="","",WEEKDAY(A182,2))</f>
        <v/>
      </c>
    </row>
    <row r="183" customFormat="false" ht="15" hidden="false" customHeight="false" outlineLevel="0" collapsed="false">
      <c r="A183" s="8"/>
      <c r="B183" s="9"/>
      <c r="C183" s="9"/>
      <c r="D183" s="9"/>
      <c r="E183" s="9"/>
      <c r="F183" s="9"/>
      <c r="G183" s="9"/>
      <c r="H183" s="9"/>
      <c r="I183" s="10"/>
      <c r="J183" s="9"/>
      <c r="K183" s="10"/>
      <c r="L183" s="11" t="str">
        <f aca="false">IF(OR(B183="",C183=""),"",(C183-B183)/B183)</f>
        <v/>
      </c>
      <c r="M183" s="12" t="str">
        <f aca="false">IF(L183="","",IF(ABS(L183)&lt;MinDrive,"kein Trade",IF(L183&gt;0,"Short","Long")))</f>
        <v/>
      </c>
      <c r="N183" s="12" t="str">
        <f aca="false">IF(OR(M183="",M183="kein Trade"),"",IF(H183="","kein Signal","Trade"))</f>
        <v/>
      </c>
      <c r="O183" s="13" t="str">
        <f aca="false">IF(N183&lt;&gt;"Trade","",IF(M183="Short",D183,E183))</f>
        <v/>
      </c>
      <c r="P183" s="13" t="str">
        <f aca="false">IF(N183&lt;&gt;"Trade","",ABS(H183-O183))</f>
        <v/>
      </c>
      <c r="Q183" s="13" t="str">
        <f aca="false">IF(N183&lt;&gt;"Trade","",H183+IF(M183="Long",1,-1)*ZielR*P183)</f>
        <v/>
      </c>
      <c r="R183" s="13" t="str">
        <f aca="false">IF(OR(N183&lt;&gt;"Trade",I183=""),"",IF(I183="Ziel",Q183,IF(I183="Stop",O183,IF(J183="","",J183))))</f>
        <v/>
      </c>
      <c r="S183" s="13" t="str">
        <f aca="false">IF(R183="","",(R183-H183)*IF(M183="Long",1,-1)-2*Slippage)</f>
        <v/>
      </c>
      <c r="T183" s="14" t="str">
        <f aca="false">IF(OR(S183="",P183=0),"",S183/P183)</f>
        <v/>
      </c>
      <c r="U183" s="15" t="str">
        <f aca="false">IF(S183="","",S183*Punktwert*Kontrakte-Kommission*Kontrakte)</f>
        <v/>
      </c>
      <c r="V183" s="15" t="str">
        <f aca="false">IF(U183="","",SUM($U$5:U183))</f>
        <v/>
      </c>
      <c r="W183" s="15" t="str">
        <f aca="false">IF(V183="","",MAX(0,MAX($V$5:V183)))</f>
        <v/>
      </c>
      <c r="X183" s="15" t="str">
        <f aca="false">IF(V183="","",V183-W183)</f>
        <v/>
      </c>
      <c r="Y183" s="12" t="str">
        <f aca="false">IF(N183&lt;&gt;"Trade","",IF(P183=0,"Stop = Einstieg?",IF(I183="","Ergebnis eintragen",IF(AND(I183="Zeit",J183=""),"Kurs 11:30 fehlt",IF(OR(AND(M183="Short",H183&gt;F183),AND(M183="Long",H183&lt;G183)),"Einstieg prüfen","ok")))))</f>
        <v/>
      </c>
      <c r="Z183" s="16" t="str">
        <f aca="false">IF(A183="","",WEEKDAY(A183,2))</f>
        <v/>
      </c>
    </row>
    <row r="184" customFormat="false" ht="15" hidden="false" customHeight="false" outlineLevel="0" collapsed="false">
      <c r="A184" s="8"/>
      <c r="B184" s="9"/>
      <c r="C184" s="9"/>
      <c r="D184" s="9"/>
      <c r="E184" s="9"/>
      <c r="F184" s="9"/>
      <c r="G184" s="9"/>
      <c r="H184" s="9"/>
      <c r="I184" s="10"/>
      <c r="J184" s="9"/>
      <c r="K184" s="10"/>
      <c r="L184" s="11" t="str">
        <f aca="false">IF(OR(B184="",C184=""),"",(C184-B184)/B184)</f>
        <v/>
      </c>
      <c r="M184" s="12" t="str">
        <f aca="false">IF(L184="","",IF(ABS(L184)&lt;MinDrive,"kein Trade",IF(L184&gt;0,"Short","Long")))</f>
        <v/>
      </c>
      <c r="N184" s="12" t="str">
        <f aca="false">IF(OR(M184="",M184="kein Trade"),"",IF(H184="","kein Signal","Trade"))</f>
        <v/>
      </c>
      <c r="O184" s="13" t="str">
        <f aca="false">IF(N184&lt;&gt;"Trade","",IF(M184="Short",D184,E184))</f>
        <v/>
      </c>
      <c r="P184" s="13" t="str">
        <f aca="false">IF(N184&lt;&gt;"Trade","",ABS(H184-O184))</f>
        <v/>
      </c>
      <c r="Q184" s="13" t="str">
        <f aca="false">IF(N184&lt;&gt;"Trade","",H184+IF(M184="Long",1,-1)*ZielR*P184)</f>
        <v/>
      </c>
      <c r="R184" s="13" t="str">
        <f aca="false">IF(OR(N184&lt;&gt;"Trade",I184=""),"",IF(I184="Ziel",Q184,IF(I184="Stop",O184,IF(J184="","",J184))))</f>
        <v/>
      </c>
      <c r="S184" s="13" t="str">
        <f aca="false">IF(R184="","",(R184-H184)*IF(M184="Long",1,-1)-2*Slippage)</f>
        <v/>
      </c>
      <c r="T184" s="14" t="str">
        <f aca="false">IF(OR(S184="",P184=0),"",S184/P184)</f>
        <v/>
      </c>
      <c r="U184" s="15" t="str">
        <f aca="false">IF(S184="","",S184*Punktwert*Kontrakte-Kommission*Kontrakte)</f>
        <v/>
      </c>
      <c r="V184" s="15" t="str">
        <f aca="false">IF(U184="","",SUM($U$5:U184))</f>
        <v/>
      </c>
      <c r="W184" s="15" t="str">
        <f aca="false">IF(V184="","",MAX(0,MAX($V$5:V184)))</f>
        <v/>
      </c>
      <c r="X184" s="15" t="str">
        <f aca="false">IF(V184="","",V184-W184)</f>
        <v/>
      </c>
      <c r="Y184" s="12" t="str">
        <f aca="false">IF(N184&lt;&gt;"Trade","",IF(P184=0,"Stop = Einstieg?",IF(I184="","Ergebnis eintragen",IF(AND(I184="Zeit",J184=""),"Kurs 11:30 fehlt",IF(OR(AND(M184="Short",H184&gt;F184),AND(M184="Long",H184&lt;G184)),"Einstieg prüfen","ok")))))</f>
        <v/>
      </c>
      <c r="Z184" s="16" t="str">
        <f aca="false">IF(A184="","",WEEKDAY(A184,2))</f>
        <v/>
      </c>
    </row>
    <row r="185" customFormat="false" ht="15" hidden="false" customHeight="false" outlineLevel="0" collapsed="false">
      <c r="A185" s="8"/>
      <c r="B185" s="9"/>
      <c r="C185" s="9"/>
      <c r="D185" s="9"/>
      <c r="E185" s="9"/>
      <c r="F185" s="9"/>
      <c r="G185" s="9"/>
      <c r="H185" s="9"/>
      <c r="I185" s="10"/>
      <c r="J185" s="9"/>
      <c r="K185" s="10"/>
      <c r="L185" s="11" t="str">
        <f aca="false">IF(OR(B185="",C185=""),"",(C185-B185)/B185)</f>
        <v/>
      </c>
      <c r="M185" s="12" t="str">
        <f aca="false">IF(L185="","",IF(ABS(L185)&lt;MinDrive,"kein Trade",IF(L185&gt;0,"Short","Long")))</f>
        <v/>
      </c>
      <c r="N185" s="12" t="str">
        <f aca="false">IF(OR(M185="",M185="kein Trade"),"",IF(H185="","kein Signal","Trade"))</f>
        <v/>
      </c>
      <c r="O185" s="13" t="str">
        <f aca="false">IF(N185&lt;&gt;"Trade","",IF(M185="Short",D185,E185))</f>
        <v/>
      </c>
      <c r="P185" s="13" t="str">
        <f aca="false">IF(N185&lt;&gt;"Trade","",ABS(H185-O185))</f>
        <v/>
      </c>
      <c r="Q185" s="13" t="str">
        <f aca="false">IF(N185&lt;&gt;"Trade","",H185+IF(M185="Long",1,-1)*ZielR*P185)</f>
        <v/>
      </c>
      <c r="R185" s="13" t="str">
        <f aca="false">IF(OR(N185&lt;&gt;"Trade",I185=""),"",IF(I185="Ziel",Q185,IF(I185="Stop",O185,IF(J185="","",J185))))</f>
        <v/>
      </c>
      <c r="S185" s="13" t="str">
        <f aca="false">IF(R185="","",(R185-H185)*IF(M185="Long",1,-1)-2*Slippage)</f>
        <v/>
      </c>
      <c r="T185" s="14" t="str">
        <f aca="false">IF(OR(S185="",P185=0),"",S185/P185)</f>
        <v/>
      </c>
      <c r="U185" s="15" t="str">
        <f aca="false">IF(S185="","",S185*Punktwert*Kontrakte-Kommission*Kontrakte)</f>
        <v/>
      </c>
      <c r="V185" s="15" t="str">
        <f aca="false">IF(U185="","",SUM($U$5:U185))</f>
        <v/>
      </c>
      <c r="W185" s="15" t="str">
        <f aca="false">IF(V185="","",MAX(0,MAX($V$5:V185)))</f>
        <v/>
      </c>
      <c r="X185" s="15" t="str">
        <f aca="false">IF(V185="","",V185-W185)</f>
        <v/>
      </c>
      <c r="Y185" s="12" t="str">
        <f aca="false">IF(N185&lt;&gt;"Trade","",IF(P185=0,"Stop = Einstieg?",IF(I185="","Ergebnis eintragen",IF(AND(I185="Zeit",J185=""),"Kurs 11:30 fehlt",IF(OR(AND(M185="Short",H185&gt;F185),AND(M185="Long",H185&lt;G185)),"Einstieg prüfen","ok")))))</f>
        <v/>
      </c>
      <c r="Z185" s="16" t="str">
        <f aca="false">IF(A185="","",WEEKDAY(A185,2))</f>
        <v/>
      </c>
    </row>
    <row r="186" customFormat="false" ht="15" hidden="false" customHeight="false" outlineLevel="0" collapsed="false">
      <c r="A186" s="8"/>
      <c r="B186" s="9"/>
      <c r="C186" s="9"/>
      <c r="D186" s="9"/>
      <c r="E186" s="9"/>
      <c r="F186" s="9"/>
      <c r="G186" s="9"/>
      <c r="H186" s="9"/>
      <c r="I186" s="10"/>
      <c r="J186" s="9"/>
      <c r="K186" s="10"/>
      <c r="L186" s="11" t="str">
        <f aca="false">IF(OR(B186="",C186=""),"",(C186-B186)/B186)</f>
        <v/>
      </c>
      <c r="M186" s="12" t="str">
        <f aca="false">IF(L186="","",IF(ABS(L186)&lt;MinDrive,"kein Trade",IF(L186&gt;0,"Short","Long")))</f>
        <v/>
      </c>
      <c r="N186" s="12" t="str">
        <f aca="false">IF(OR(M186="",M186="kein Trade"),"",IF(H186="","kein Signal","Trade"))</f>
        <v/>
      </c>
      <c r="O186" s="13" t="str">
        <f aca="false">IF(N186&lt;&gt;"Trade","",IF(M186="Short",D186,E186))</f>
        <v/>
      </c>
      <c r="P186" s="13" t="str">
        <f aca="false">IF(N186&lt;&gt;"Trade","",ABS(H186-O186))</f>
        <v/>
      </c>
      <c r="Q186" s="13" t="str">
        <f aca="false">IF(N186&lt;&gt;"Trade","",H186+IF(M186="Long",1,-1)*ZielR*P186)</f>
        <v/>
      </c>
      <c r="R186" s="13" t="str">
        <f aca="false">IF(OR(N186&lt;&gt;"Trade",I186=""),"",IF(I186="Ziel",Q186,IF(I186="Stop",O186,IF(J186="","",J186))))</f>
        <v/>
      </c>
      <c r="S186" s="13" t="str">
        <f aca="false">IF(R186="","",(R186-H186)*IF(M186="Long",1,-1)-2*Slippage)</f>
        <v/>
      </c>
      <c r="T186" s="14" t="str">
        <f aca="false">IF(OR(S186="",P186=0),"",S186/P186)</f>
        <v/>
      </c>
      <c r="U186" s="15" t="str">
        <f aca="false">IF(S186="","",S186*Punktwert*Kontrakte-Kommission*Kontrakte)</f>
        <v/>
      </c>
      <c r="V186" s="15" t="str">
        <f aca="false">IF(U186="","",SUM($U$5:U186))</f>
        <v/>
      </c>
      <c r="W186" s="15" t="str">
        <f aca="false">IF(V186="","",MAX(0,MAX($V$5:V186)))</f>
        <v/>
      </c>
      <c r="X186" s="15" t="str">
        <f aca="false">IF(V186="","",V186-W186)</f>
        <v/>
      </c>
      <c r="Y186" s="12" t="str">
        <f aca="false">IF(N186&lt;&gt;"Trade","",IF(P186=0,"Stop = Einstieg?",IF(I186="","Ergebnis eintragen",IF(AND(I186="Zeit",J186=""),"Kurs 11:30 fehlt",IF(OR(AND(M186="Short",H186&gt;F186),AND(M186="Long",H186&lt;G186)),"Einstieg prüfen","ok")))))</f>
        <v/>
      </c>
      <c r="Z186" s="16" t="str">
        <f aca="false">IF(A186="","",WEEKDAY(A186,2))</f>
        <v/>
      </c>
    </row>
    <row r="187" customFormat="false" ht="15" hidden="false" customHeight="false" outlineLevel="0" collapsed="false">
      <c r="A187" s="8"/>
      <c r="B187" s="9"/>
      <c r="C187" s="9"/>
      <c r="D187" s="9"/>
      <c r="E187" s="9"/>
      <c r="F187" s="9"/>
      <c r="G187" s="9"/>
      <c r="H187" s="9"/>
      <c r="I187" s="10"/>
      <c r="J187" s="9"/>
      <c r="K187" s="10"/>
      <c r="L187" s="11" t="str">
        <f aca="false">IF(OR(B187="",C187=""),"",(C187-B187)/B187)</f>
        <v/>
      </c>
      <c r="M187" s="12" t="str">
        <f aca="false">IF(L187="","",IF(ABS(L187)&lt;MinDrive,"kein Trade",IF(L187&gt;0,"Short","Long")))</f>
        <v/>
      </c>
      <c r="N187" s="12" t="str">
        <f aca="false">IF(OR(M187="",M187="kein Trade"),"",IF(H187="","kein Signal","Trade"))</f>
        <v/>
      </c>
      <c r="O187" s="13" t="str">
        <f aca="false">IF(N187&lt;&gt;"Trade","",IF(M187="Short",D187,E187))</f>
        <v/>
      </c>
      <c r="P187" s="13" t="str">
        <f aca="false">IF(N187&lt;&gt;"Trade","",ABS(H187-O187))</f>
        <v/>
      </c>
      <c r="Q187" s="13" t="str">
        <f aca="false">IF(N187&lt;&gt;"Trade","",H187+IF(M187="Long",1,-1)*ZielR*P187)</f>
        <v/>
      </c>
      <c r="R187" s="13" t="str">
        <f aca="false">IF(OR(N187&lt;&gt;"Trade",I187=""),"",IF(I187="Ziel",Q187,IF(I187="Stop",O187,IF(J187="","",J187))))</f>
        <v/>
      </c>
      <c r="S187" s="13" t="str">
        <f aca="false">IF(R187="","",(R187-H187)*IF(M187="Long",1,-1)-2*Slippage)</f>
        <v/>
      </c>
      <c r="T187" s="14" t="str">
        <f aca="false">IF(OR(S187="",P187=0),"",S187/P187)</f>
        <v/>
      </c>
      <c r="U187" s="15" t="str">
        <f aca="false">IF(S187="","",S187*Punktwert*Kontrakte-Kommission*Kontrakte)</f>
        <v/>
      </c>
      <c r="V187" s="15" t="str">
        <f aca="false">IF(U187="","",SUM($U$5:U187))</f>
        <v/>
      </c>
      <c r="W187" s="15" t="str">
        <f aca="false">IF(V187="","",MAX(0,MAX($V$5:V187)))</f>
        <v/>
      </c>
      <c r="X187" s="15" t="str">
        <f aca="false">IF(V187="","",V187-W187)</f>
        <v/>
      </c>
      <c r="Y187" s="12" t="str">
        <f aca="false">IF(N187&lt;&gt;"Trade","",IF(P187=0,"Stop = Einstieg?",IF(I187="","Ergebnis eintragen",IF(AND(I187="Zeit",J187=""),"Kurs 11:30 fehlt",IF(OR(AND(M187="Short",H187&gt;F187),AND(M187="Long",H187&lt;G187)),"Einstieg prüfen","ok")))))</f>
        <v/>
      </c>
      <c r="Z187" s="16" t="str">
        <f aca="false">IF(A187="","",WEEKDAY(A187,2))</f>
        <v/>
      </c>
    </row>
    <row r="188" customFormat="false" ht="15" hidden="false" customHeight="false" outlineLevel="0" collapsed="false">
      <c r="A188" s="8"/>
      <c r="B188" s="9"/>
      <c r="C188" s="9"/>
      <c r="D188" s="9"/>
      <c r="E188" s="9"/>
      <c r="F188" s="9"/>
      <c r="G188" s="9"/>
      <c r="H188" s="9"/>
      <c r="I188" s="10"/>
      <c r="J188" s="9"/>
      <c r="K188" s="10"/>
      <c r="L188" s="11" t="str">
        <f aca="false">IF(OR(B188="",C188=""),"",(C188-B188)/B188)</f>
        <v/>
      </c>
      <c r="M188" s="12" t="str">
        <f aca="false">IF(L188="","",IF(ABS(L188)&lt;MinDrive,"kein Trade",IF(L188&gt;0,"Short","Long")))</f>
        <v/>
      </c>
      <c r="N188" s="12" t="str">
        <f aca="false">IF(OR(M188="",M188="kein Trade"),"",IF(H188="","kein Signal","Trade"))</f>
        <v/>
      </c>
      <c r="O188" s="13" t="str">
        <f aca="false">IF(N188&lt;&gt;"Trade","",IF(M188="Short",D188,E188))</f>
        <v/>
      </c>
      <c r="P188" s="13" t="str">
        <f aca="false">IF(N188&lt;&gt;"Trade","",ABS(H188-O188))</f>
        <v/>
      </c>
      <c r="Q188" s="13" t="str">
        <f aca="false">IF(N188&lt;&gt;"Trade","",H188+IF(M188="Long",1,-1)*ZielR*P188)</f>
        <v/>
      </c>
      <c r="R188" s="13" t="str">
        <f aca="false">IF(OR(N188&lt;&gt;"Trade",I188=""),"",IF(I188="Ziel",Q188,IF(I188="Stop",O188,IF(J188="","",J188))))</f>
        <v/>
      </c>
      <c r="S188" s="13" t="str">
        <f aca="false">IF(R188="","",(R188-H188)*IF(M188="Long",1,-1)-2*Slippage)</f>
        <v/>
      </c>
      <c r="T188" s="14" t="str">
        <f aca="false">IF(OR(S188="",P188=0),"",S188/P188)</f>
        <v/>
      </c>
      <c r="U188" s="15" t="str">
        <f aca="false">IF(S188="","",S188*Punktwert*Kontrakte-Kommission*Kontrakte)</f>
        <v/>
      </c>
      <c r="V188" s="15" t="str">
        <f aca="false">IF(U188="","",SUM($U$5:U188))</f>
        <v/>
      </c>
      <c r="W188" s="15" t="str">
        <f aca="false">IF(V188="","",MAX(0,MAX($V$5:V188)))</f>
        <v/>
      </c>
      <c r="X188" s="15" t="str">
        <f aca="false">IF(V188="","",V188-W188)</f>
        <v/>
      </c>
      <c r="Y188" s="12" t="str">
        <f aca="false">IF(N188&lt;&gt;"Trade","",IF(P188=0,"Stop = Einstieg?",IF(I188="","Ergebnis eintragen",IF(AND(I188="Zeit",J188=""),"Kurs 11:30 fehlt",IF(OR(AND(M188="Short",H188&gt;F188),AND(M188="Long",H188&lt;G188)),"Einstieg prüfen","ok")))))</f>
        <v/>
      </c>
      <c r="Z188" s="16" t="str">
        <f aca="false">IF(A188="","",WEEKDAY(A188,2))</f>
        <v/>
      </c>
    </row>
    <row r="189" customFormat="false" ht="15" hidden="false" customHeight="false" outlineLevel="0" collapsed="false">
      <c r="A189" s="8"/>
      <c r="B189" s="9"/>
      <c r="C189" s="9"/>
      <c r="D189" s="9"/>
      <c r="E189" s="9"/>
      <c r="F189" s="9"/>
      <c r="G189" s="9"/>
      <c r="H189" s="9"/>
      <c r="I189" s="10"/>
      <c r="J189" s="9"/>
      <c r="K189" s="10"/>
      <c r="L189" s="11" t="str">
        <f aca="false">IF(OR(B189="",C189=""),"",(C189-B189)/B189)</f>
        <v/>
      </c>
      <c r="M189" s="12" t="str">
        <f aca="false">IF(L189="","",IF(ABS(L189)&lt;MinDrive,"kein Trade",IF(L189&gt;0,"Short","Long")))</f>
        <v/>
      </c>
      <c r="N189" s="12" t="str">
        <f aca="false">IF(OR(M189="",M189="kein Trade"),"",IF(H189="","kein Signal","Trade"))</f>
        <v/>
      </c>
      <c r="O189" s="13" t="str">
        <f aca="false">IF(N189&lt;&gt;"Trade","",IF(M189="Short",D189,E189))</f>
        <v/>
      </c>
      <c r="P189" s="13" t="str">
        <f aca="false">IF(N189&lt;&gt;"Trade","",ABS(H189-O189))</f>
        <v/>
      </c>
      <c r="Q189" s="13" t="str">
        <f aca="false">IF(N189&lt;&gt;"Trade","",H189+IF(M189="Long",1,-1)*ZielR*P189)</f>
        <v/>
      </c>
      <c r="R189" s="13" t="str">
        <f aca="false">IF(OR(N189&lt;&gt;"Trade",I189=""),"",IF(I189="Ziel",Q189,IF(I189="Stop",O189,IF(J189="","",J189))))</f>
        <v/>
      </c>
      <c r="S189" s="13" t="str">
        <f aca="false">IF(R189="","",(R189-H189)*IF(M189="Long",1,-1)-2*Slippage)</f>
        <v/>
      </c>
      <c r="T189" s="14" t="str">
        <f aca="false">IF(OR(S189="",P189=0),"",S189/P189)</f>
        <v/>
      </c>
      <c r="U189" s="15" t="str">
        <f aca="false">IF(S189="","",S189*Punktwert*Kontrakte-Kommission*Kontrakte)</f>
        <v/>
      </c>
      <c r="V189" s="15" t="str">
        <f aca="false">IF(U189="","",SUM($U$5:U189))</f>
        <v/>
      </c>
      <c r="W189" s="15" t="str">
        <f aca="false">IF(V189="","",MAX(0,MAX($V$5:V189)))</f>
        <v/>
      </c>
      <c r="X189" s="15" t="str">
        <f aca="false">IF(V189="","",V189-W189)</f>
        <v/>
      </c>
      <c r="Y189" s="12" t="str">
        <f aca="false">IF(N189&lt;&gt;"Trade","",IF(P189=0,"Stop = Einstieg?",IF(I189="","Ergebnis eintragen",IF(AND(I189="Zeit",J189=""),"Kurs 11:30 fehlt",IF(OR(AND(M189="Short",H189&gt;F189),AND(M189="Long",H189&lt;G189)),"Einstieg prüfen","ok")))))</f>
        <v/>
      </c>
      <c r="Z189" s="16" t="str">
        <f aca="false">IF(A189="","",WEEKDAY(A189,2))</f>
        <v/>
      </c>
    </row>
    <row r="190" customFormat="false" ht="15" hidden="false" customHeight="false" outlineLevel="0" collapsed="false">
      <c r="A190" s="8"/>
      <c r="B190" s="9"/>
      <c r="C190" s="9"/>
      <c r="D190" s="9"/>
      <c r="E190" s="9"/>
      <c r="F190" s="9"/>
      <c r="G190" s="9"/>
      <c r="H190" s="9"/>
      <c r="I190" s="10"/>
      <c r="J190" s="9"/>
      <c r="K190" s="10"/>
      <c r="L190" s="11" t="str">
        <f aca="false">IF(OR(B190="",C190=""),"",(C190-B190)/B190)</f>
        <v/>
      </c>
      <c r="M190" s="12" t="str">
        <f aca="false">IF(L190="","",IF(ABS(L190)&lt;MinDrive,"kein Trade",IF(L190&gt;0,"Short","Long")))</f>
        <v/>
      </c>
      <c r="N190" s="12" t="str">
        <f aca="false">IF(OR(M190="",M190="kein Trade"),"",IF(H190="","kein Signal","Trade"))</f>
        <v/>
      </c>
      <c r="O190" s="13" t="str">
        <f aca="false">IF(N190&lt;&gt;"Trade","",IF(M190="Short",D190,E190))</f>
        <v/>
      </c>
      <c r="P190" s="13" t="str">
        <f aca="false">IF(N190&lt;&gt;"Trade","",ABS(H190-O190))</f>
        <v/>
      </c>
      <c r="Q190" s="13" t="str">
        <f aca="false">IF(N190&lt;&gt;"Trade","",H190+IF(M190="Long",1,-1)*ZielR*P190)</f>
        <v/>
      </c>
      <c r="R190" s="13" t="str">
        <f aca="false">IF(OR(N190&lt;&gt;"Trade",I190=""),"",IF(I190="Ziel",Q190,IF(I190="Stop",O190,IF(J190="","",J190))))</f>
        <v/>
      </c>
      <c r="S190" s="13" t="str">
        <f aca="false">IF(R190="","",(R190-H190)*IF(M190="Long",1,-1)-2*Slippage)</f>
        <v/>
      </c>
      <c r="T190" s="14" t="str">
        <f aca="false">IF(OR(S190="",P190=0),"",S190/P190)</f>
        <v/>
      </c>
      <c r="U190" s="15" t="str">
        <f aca="false">IF(S190="","",S190*Punktwert*Kontrakte-Kommission*Kontrakte)</f>
        <v/>
      </c>
      <c r="V190" s="15" t="str">
        <f aca="false">IF(U190="","",SUM($U$5:U190))</f>
        <v/>
      </c>
      <c r="W190" s="15" t="str">
        <f aca="false">IF(V190="","",MAX(0,MAX($V$5:V190)))</f>
        <v/>
      </c>
      <c r="X190" s="15" t="str">
        <f aca="false">IF(V190="","",V190-W190)</f>
        <v/>
      </c>
      <c r="Y190" s="12" t="str">
        <f aca="false">IF(N190&lt;&gt;"Trade","",IF(P190=0,"Stop = Einstieg?",IF(I190="","Ergebnis eintragen",IF(AND(I190="Zeit",J190=""),"Kurs 11:30 fehlt",IF(OR(AND(M190="Short",H190&gt;F190),AND(M190="Long",H190&lt;G190)),"Einstieg prüfen","ok")))))</f>
        <v/>
      </c>
      <c r="Z190" s="16" t="str">
        <f aca="false">IF(A190="","",WEEKDAY(A190,2))</f>
        <v/>
      </c>
    </row>
    <row r="191" customFormat="false" ht="15" hidden="false" customHeight="false" outlineLevel="0" collapsed="false">
      <c r="A191" s="8"/>
      <c r="B191" s="9"/>
      <c r="C191" s="9"/>
      <c r="D191" s="9"/>
      <c r="E191" s="9"/>
      <c r="F191" s="9"/>
      <c r="G191" s="9"/>
      <c r="H191" s="9"/>
      <c r="I191" s="10"/>
      <c r="J191" s="9"/>
      <c r="K191" s="10"/>
      <c r="L191" s="11" t="str">
        <f aca="false">IF(OR(B191="",C191=""),"",(C191-B191)/B191)</f>
        <v/>
      </c>
      <c r="M191" s="12" t="str">
        <f aca="false">IF(L191="","",IF(ABS(L191)&lt;MinDrive,"kein Trade",IF(L191&gt;0,"Short","Long")))</f>
        <v/>
      </c>
      <c r="N191" s="12" t="str">
        <f aca="false">IF(OR(M191="",M191="kein Trade"),"",IF(H191="","kein Signal","Trade"))</f>
        <v/>
      </c>
      <c r="O191" s="13" t="str">
        <f aca="false">IF(N191&lt;&gt;"Trade","",IF(M191="Short",D191,E191))</f>
        <v/>
      </c>
      <c r="P191" s="13" t="str">
        <f aca="false">IF(N191&lt;&gt;"Trade","",ABS(H191-O191))</f>
        <v/>
      </c>
      <c r="Q191" s="13" t="str">
        <f aca="false">IF(N191&lt;&gt;"Trade","",H191+IF(M191="Long",1,-1)*ZielR*P191)</f>
        <v/>
      </c>
      <c r="R191" s="13" t="str">
        <f aca="false">IF(OR(N191&lt;&gt;"Trade",I191=""),"",IF(I191="Ziel",Q191,IF(I191="Stop",O191,IF(J191="","",J191))))</f>
        <v/>
      </c>
      <c r="S191" s="13" t="str">
        <f aca="false">IF(R191="","",(R191-H191)*IF(M191="Long",1,-1)-2*Slippage)</f>
        <v/>
      </c>
      <c r="T191" s="14" t="str">
        <f aca="false">IF(OR(S191="",P191=0),"",S191/P191)</f>
        <v/>
      </c>
      <c r="U191" s="15" t="str">
        <f aca="false">IF(S191="","",S191*Punktwert*Kontrakte-Kommission*Kontrakte)</f>
        <v/>
      </c>
      <c r="V191" s="15" t="str">
        <f aca="false">IF(U191="","",SUM($U$5:U191))</f>
        <v/>
      </c>
      <c r="W191" s="15" t="str">
        <f aca="false">IF(V191="","",MAX(0,MAX($V$5:V191)))</f>
        <v/>
      </c>
      <c r="X191" s="15" t="str">
        <f aca="false">IF(V191="","",V191-W191)</f>
        <v/>
      </c>
      <c r="Y191" s="12" t="str">
        <f aca="false">IF(N191&lt;&gt;"Trade","",IF(P191=0,"Stop = Einstieg?",IF(I191="","Ergebnis eintragen",IF(AND(I191="Zeit",J191=""),"Kurs 11:30 fehlt",IF(OR(AND(M191="Short",H191&gt;F191),AND(M191="Long",H191&lt;G191)),"Einstieg prüfen","ok")))))</f>
        <v/>
      </c>
      <c r="Z191" s="16" t="str">
        <f aca="false">IF(A191="","",WEEKDAY(A191,2))</f>
        <v/>
      </c>
    </row>
    <row r="192" customFormat="false" ht="15" hidden="false" customHeight="false" outlineLevel="0" collapsed="false">
      <c r="A192" s="8"/>
      <c r="B192" s="9"/>
      <c r="C192" s="9"/>
      <c r="D192" s="9"/>
      <c r="E192" s="9"/>
      <c r="F192" s="9"/>
      <c r="G192" s="9"/>
      <c r="H192" s="9"/>
      <c r="I192" s="10"/>
      <c r="J192" s="9"/>
      <c r="K192" s="10"/>
      <c r="L192" s="11" t="str">
        <f aca="false">IF(OR(B192="",C192=""),"",(C192-B192)/B192)</f>
        <v/>
      </c>
      <c r="M192" s="12" t="str">
        <f aca="false">IF(L192="","",IF(ABS(L192)&lt;MinDrive,"kein Trade",IF(L192&gt;0,"Short","Long")))</f>
        <v/>
      </c>
      <c r="N192" s="12" t="str">
        <f aca="false">IF(OR(M192="",M192="kein Trade"),"",IF(H192="","kein Signal","Trade"))</f>
        <v/>
      </c>
      <c r="O192" s="13" t="str">
        <f aca="false">IF(N192&lt;&gt;"Trade","",IF(M192="Short",D192,E192))</f>
        <v/>
      </c>
      <c r="P192" s="13" t="str">
        <f aca="false">IF(N192&lt;&gt;"Trade","",ABS(H192-O192))</f>
        <v/>
      </c>
      <c r="Q192" s="13" t="str">
        <f aca="false">IF(N192&lt;&gt;"Trade","",H192+IF(M192="Long",1,-1)*ZielR*P192)</f>
        <v/>
      </c>
      <c r="R192" s="13" t="str">
        <f aca="false">IF(OR(N192&lt;&gt;"Trade",I192=""),"",IF(I192="Ziel",Q192,IF(I192="Stop",O192,IF(J192="","",J192))))</f>
        <v/>
      </c>
      <c r="S192" s="13" t="str">
        <f aca="false">IF(R192="","",(R192-H192)*IF(M192="Long",1,-1)-2*Slippage)</f>
        <v/>
      </c>
      <c r="T192" s="14" t="str">
        <f aca="false">IF(OR(S192="",P192=0),"",S192/P192)</f>
        <v/>
      </c>
      <c r="U192" s="15" t="str">
        <f aca="false">IF(S192="","",S192*Punktwert*Kontrakte-Kommission*Kontrakte)</f>
        <v/>
      </c>
      <c r="V192" s="15" t="str">
        <f aca="false">IF(U192="","",SUM($U$5:U192))</f>
        <v/>
      </c>
      <c r="W192" s="15" t="str">
        <f aca="false">IF(V192="","",MAX(0,MAX($V$5:V192)))</f>
        <v/>
      </c>
      <c r="X192" s="15" t="str">
        <f aca="false">IF(V192="","",V192-W192)</f>
        <v/>
      </c>
      <c r="Y192" s="12" t="str">
        <f aca="false">IF(N192&lt;&gt;"Trade","",IF(P192=0,"Stop = Einstieg?",IF(I192="","Ergebnis eintragen",IF(AND(I192="Zeit",J192=""),"Kurs 11:30 fehlt",IF(OR(AND(M192="Short",H192&gt;F192),AND(M192="Long",H192&lt;G192)),"Einstieg prüfen","ok")))))</f>
        <v/>
      </c>
      <c r="Z192" s="16" t="str">
        <f aca="false">IF(A192="","",WEEKDAY(A192,2))</f>
        <v/>
      </c>
    </row>
    <row r="193" customFormat="false" ht="15" hidden="false" customHeight="false" outlineLevel="0" collapsed="false">
      <c r="A193" s="8"/>
      <c r="B193" s="9"/>
      <c r="C193" s="9"/>
      <c r="D193" s="9"/>
      <c r="E193" s="9"/>
      <c r="F193" s="9"/>
      <c r="G193" s="9"/>
      <c r="H193" s="9"/>
      <c r="I193" s="10"/>
      <c r="J193" s="9"/>
      <c r="K193" s="10"/>
      <c r="L193" s="11" t="str">
        <f aca="false">IF(OR(B193="",C193=""),"",(C193-B193)/B193)</f>
        <v/>
      </c>
      <c r="M193" s="12" t="str">
        <f aca="false">IF(L193="","",IF(ABS(L193)&lt;MinDrive,"kein Trade",IF(L193&gt;0,"Short","Long")))</f>
        <v/>
      </c>
      <c r="N193" s="12" t="str">
        <f aca="false">IF(OR(M193="",M193="kein Trade"),"",IF(H193="","kein Signal","Trade"))</f>
        <v/>
      </c>
      <c r="O193" s="13" t="str">
        <f aca="false">IF(N193&lt;&gt;"Trade","",IF(M193="Short",D193,E193))</f>
        <v/>
      </c>
      <c r="P193" s="13" t="str">
        <f aca="false">IF(N193&lt;&gt;"Trade","",ABS(H193-O193))</f>
        <v/>
      </c>
      <c r="Q193" s="13" t="str">
        <f aca="false">IF(N193&lt;&gt;"Trade","",H193+IF(M193="Long",1,-1)*ZielR*P193)</f>
        <v/>
      </c>
      <c r="R193" s="13" t="str">
        <f aca="false">IF(OR(N193&lt;&gt;"Trade",I193=""),"",IF(I193="Ziel",Q193,IF(I193="Stop",O193,IF(J193="","",J193))))</f>
        <v/>
      </c>
      <c r="S193" s="13" t="str">
        <f aca="false">IF(R193="","",(R193-H193)*IF(M193="Long",1,-1)-2*Slippage)</f>
        <v/>
      </c>
      <c r="T193" s="14" t="str">
        <f aca="false">IF(OR(S193="",P193=0),"",S193/P193)</f>
        <v/>
      </c>
      <c r="U193" s="15" t="str">
        <f aca="false">IF(S193="","",S193*Punktwert*Kontrakte-Kommission*Kontrakte)</f>
        <v/>
      </c>
      <c r="V193" s="15" t="str">
        <f aca="false">IF(U193="","",SUM($U$5:U193))</f>
        <v/>
      </c>
      <c r="W193" s="15" t="str">
        <f aca="false">IF(V193="","",MAX(0,MAX($V$5:V193)))</f>
        <v/>
      </c>
      <c r="X193" s="15" t="str">
        <f aca="false">IF(V193="","",V193-W193)</f>
        <v/>
      </c>
      <c r="Y193" s="12" t="str">
        <f aca="false">IF(N193&lt;&gt;"Trade","",IF(P193=0,"Stop = Einstieg?",IF(I193="","Ergebnis eintragen",IF(AND(I193="Zeit",J193=""),"Kurs 11:30 fehlt",IF(OR(AND(M193="Short",H193&gt;F193),AND(M193="Long",H193&lt;G193)),"Einstieg prüfen","ok")))))</f>
        <v/>
      </c>
      <c r="Z193" s="16" t="str">
        <f aca="false">IF(A193="","",WEEKDAY(A193,2))</f>
        <v/>
      </c>
    </row>
    <row r="194" customFormat="false" ht="15" hidden="false" customHeight="false" outlineLevel="0" collapsed="false">
      <c r="A194" s="8"/>
      <c r="B194" s="9"/>
      <c r="C194" s="9"/>
      <c r="D194" s="9"/>
      <c r="E194" s="9"/>
      <c r="F194" s="9"/>
      <c r="G194" s="9"/>
      <c r="H194" s="9"/>
      <c r="I194" s="10"/>
      <c r="J194" s="9"/>
      <c r="K194" s="10"/>
      <c r="L194" s="11" t="str">
        <f aca="false">IF(OR(B194="",C194=""),"",(C194-B194)/B194)</f>
        <v/>
      </c>
      <c r="M194" s="12" t="str">
        <f aca="false">IF(L194="","",IF(ABS(L194)&lt;MinDrive,"kein Trade",IF(L194&gt;0,"Short","Long")))</f>
        <v/>
      </c>
      <c r="N194" s="12" t="str">
        <f aca="false">IF(OR(M194="",M194="kein Trade"),"",IF(H194="","kein Signal","Trade"))</f>
        <v/>
      </c>
      <c r="O194" s="13" t="str">
        <f aca="false">IF(N194&lt;&gt;"Trade","",IF(M194="Short",D194,E194))</f>
        <v/>
      </c>
      <c r="P194" s="13" t="str">
        <f aca="false">IF(N194&lt;&gt;"Trade","",ABS(H194-O194))</f>
        <v/>
      </c>
      <c r="Q194" s="13" t="str">
        <f aca="false">IF(N194&lt;&gt;"Trade","",H194+IF(M194="Long",1,-1)*ZielR*P194)</f>
        <v/>
      </c>
      <c r="R194" s="13" t="str">
        <f aca="false">IF(OR(N194&lt;&gt;"Trade",I194=""),"",IF(I194="Ziel",Q194,IF(I194="Stop",O194,IF(J194="","",J194))))</f>
        <v/>
      </c>
      <c r="S194" s="13" t="str">
        <f aca="false">IF(R194="","",(R194-H194)*IF(M194="Long",1,-1)-2*Slippage)</f>
        <v/>
      </c>
      <c r="T194" s="14" t="str">
        <f aca="false">IF(OR(S194="",P194=0),"",S194/P194)</f>
        <v/>
      </c>
      <c r="U194" s="15" t="str">
        <f aca="false">IF(S194="","",S194*Punktwert*Kontrakte-Kommission*Kontrakte)</f>
        <v/>
      </c>
      <c r="V194" s="15" t="str">
        <f aca="false">IF(U194="","",SUM($U$5:U194))</f>
        <v/>
      </c>
      <c r="W194" s="15" t="str">
        <f aca="false">IF(V194="","",MAX(0,MAX($V$5:V194)))</f>
        <v/>
      </c>
      <c r="X194" s="15" t="str">
        <f aca="false">IF(V194="","",V194-W194)</f>
        <v/>
      </c>
      <c r="Y194" s="12" t="str">
        <f aca="false">IF(N194&lt;&gt;"Trade","",IF(P194=0,"Stop = Einstieg?",IF(I194="","Ergebnis eintragen",IF(AND(I194="Zeit",J194=""),"Kurs 11:30 fehlt",IF(OR(AND(M194="Short",H194&gt;F194),AND(M194="Long",H194&lt;G194)),"Einstieg prüfen","ok")))))</f>
        <v/>
      </c>
      <c r="Z194" s="16" t="str">
        <f aca="false">IF(A194="","",WEEKDAY(A194,2))</f>
        <v/>
      </c>
    </row>
    <row r="195" customFormat="false" ht="15" hidden="false" customHeight="false" outlineLevel="0" collapsed="false">
      <c r="A195" s="8"/>
      <c r="B195" s="9"/>
      <c r="C195" s="9"/>
      <c r="D195" s="9"/>
      <c r="E195" s="9"/>
      <c r="F195" s="9"/>
      <c r="G195" s="9"/>
      <c r="H195" s="9"/>
      <c r="I195" s="10"/>
      <c r="J195" s="9"/>
      <c r="K195" s="10"/>
      <c r="L195" s="11" t="str">
        <f aca="false">IF(OR(B195="",C195=""),"",(C195-B195)/B195)</f>
        <v/>
      </c>
      <c r="M195" s="12" t="str">
        <f aca="false">IF(L195="","",IF(ABS(L195)&lt;MinDrive,"kein Trade",IF(L195&gt;0,"Short","Long")))</f>
        <v/>
      </c>
      <c r="N195" s="12" t="str">
        <f aca="false">IF(OR(M195="",M195="kein Trade"),"",IF(H195="","kein Signal","Trade"))</f>
        <v/>
      </c>
      <c r="O195" s="13" t="str">
        <f aca="false">IF(N195&lt;&gt;"Trade","",IF(M195="Short",D195,E195))</f>
        <v/>
      </c>
      <c r="P195" s="13" t="str">
        <f aca="false">IF(N195&lt;&gt;"Trade","",ABS(H195-O195))</f>
        <v/>
      </c>
      <c r="Q195" s="13" t="str">
        <f aca="false">IF(N195&lt;&gt;"Trade","",H195+IF(M195="Long",1,-1)*ZielR*P195)</f>
        <v/>
      </c>
      <c r="R195" s="13" t="str">
        <f aca="false">IF(OR(N195&lt;&gt;"Trade",I195=""),"",IF(I195="Ziel",Q195,IF(I195="Stop",O195,IF(J195="","",J195))))</f>
        <v/>
      </c>
      <c r="S195" s="13" t="str">
        <f aca="false">IF(R195="","",(R195-H195)*IF(M195="Long",1,-1)-2*Slippage)</f>
        <v/>
      </c>
      <c r="T195" s="14" t="str">
        <f aca="false">IF(OR(S195="",P195=0),"",S195/P195)</f>
        <v/>
      </c>
      <c r="U195" s="15" t="str">
        <f aca="false">IF(S195="","",S195*Punktwert*Kontrakte-Kommission*Kontrakte)</f>
        <v/>
      </c>
      <c r="V195" s="15" t="str">
        <f aca="false">IF(U195="","",SUM($U$5:U195))</f>
        <v/>
      </c>
      <c r="W195" s="15" t="str">
        <f aca="false">IF(V195="","",MAX(0,MAX($V$5:V195)))</f>
        <v/>
      </c>
      <c r="X195" s="15" t="str">
        <f aca="false">IF(V195="","",V195-W195)</f>
        <v/>
      </c>
      <c r="Y195" s="12" t="str">
        <f aca="false">IF(N195&lt;&gt;"Trade","",IF(P195=0,"Stop = Einstieg?",IF(I195="","Ergebnis eintragen",IF(AND(I195="Zeit",J195=""),"Kurs 11:30 fehlt",IF(OR(AND(M195="Short",H195&gt;F195),AND(M195="Long",H195&lt;G195)),"Einstieg prüfen","ok")))))</f>
        <v/>
      </c>
      <c r="Z195" s="16" t="str">
        <f aca="false">IF(A195="","",WEEKDAY(A195,2))</f>
        <v/>
      </c>
    </row>
    <row r="196" customFormat="false" ht="15" hidden="false" customHeight="false" outlineLevel="0" collapsed="false">
      <c r="A196" s="8"/>
      <c r="B196" s="9"/>
      <c r="C196" s="9"/>
      <c r="D196" s="9"/>
      <c r="E196" s="9"/>
      <c r="F196" s="9"/>
      <c r="G196" s="9"/>
      <c r="H196" s="9"/>
      <c r="I196" s="10"/>
      <c r="J196" s="9"/>
      <c r="K196" s="10"/>
      <c r="L196" s="11" t="str">
        <f aca="false">IF(OR(B196="",C196=""),"",(C196-B196)/B196)</f>
        <v/>
      </c>
      <c r="M196" s="12" t="str">
        <f aca="false">IF(L196="","",IF(ABS(L196)&lt;MinDrive,"kein Trade",IF(L196&gt;0,"Short","Long")))</f>
        <v/>
      </c>
      <c r="N196" s="12" t="str">
        <f aca="false">IF(OR(M196="",M196="kein Trade"),"",IF(H196="","kein Signal","Trade"))</f>
        <v/>
      </c>
      <c r="O196" s="13" t="str">
        <f aca="false">IF(N196&lt;&gt;"Trade","",IF(M196="Short",D196,E196))</f>
        <v/>
      </c>
      <c r="P196" s="13" t="str">
        <f aca="false">IF(N196&lt;&gt;"Trade","",ABS(H196-O196))</f>
        <v/>
      </c>
      <c r="Q196" s="13" t="str">
        <f aca="false">IF(N196&lt;&gt;"Trade","",H196+IF(M196="Long",1,-1)*ZielR*P196)</f>
        <v/>
      </c>
      <c r="R196" s="13" t="str">
        <f aca="false">IF(OR(N196&lt;&gt;"Trade",I196=""),"",IF(I196="Ziel",Q196,IF(I196="Stop",O196,IF(J196="","",J196))))</f>
        <v/>
      </c>
      <c r="S196" s="13" t="str">
        <f aca="false">IF(R196="","",(R196-H196)*IF(M196="Long",1,-1)-2*Slippage)</f>
        <v/>
      </c>
      <c r="T196" s="14" t="str">
        <f aca="false">IF(OR(S196="",P196=0),"",S196/P196)</f>
        <v/>
      </c>
      <c r="U196" s="15" t="str">
        <f aca="false">IF(S196="","",S196*Punktwert*Kontrakte-Kommission*Kontrakte)</f>
        <v/>
      </c>
      <c r="V196" s="15" t="str">
        <f aca="false">IF(U196="","",SUM($U$5:U196))</f>
        <v/>
      </c>
      <c r="W196" s="15" t="str">
        <f aca="false">IF(V196="","",MAX(0,MAX($V$5:V196)))</f>
        <v/>
      </c>
      <c r="X196" s="15" t="str">
        <f aca="false">IF(V196="","",V196-W196)</f>
        <v/>
      </c>
      <c r="Y196" s="12" t="str">
        <f aca="false">IF(N196&lt;&gt;"Trade","",IF(P196=0,"Stop = Einstieg?",IF(I196="","Ergebnis eintragen",IF(AND(I196="Zeit",J196=""),"Kurs 11:30 fehlt",IF(OR(AND(M196="Short",H196&gt;F196),AND(M196="Long",H196&lt;G196)),"Einstieg prüfen","ok")))))</f>
        <v/>
      </c>
      <c r="Z196" s="16" t="str">
        <f aca="false">IF(A196="","",WEEKDAY(A196,2))</f>
        <v/>
      </c>
    </row>
    <row r="197" customFormat="false" ht="15" hidden="false" customHeight="false" outlineLevel="0" collapsed="false">
      <c r="A197" s="8"/>
      <c r="B197" s="9"/>
      <c r="C197" s="9"/>
      <c r="D197" s="9"/>
      <c r="E197" s="9"/>
      <c r="F197" s="9"/>
      <c r="G197" s="9"/>
      <c r="H197" s="9"/>
      <c r="I197" s="10"/>
      <c r="J197" s="9"/>
      <c r="K197" s="10"/>
      <c r="L197" s="11" t="str">
        <f aca="false">IF(OR(B197="",C197=""),"",(C197-B197)/B197)</f>
        <v/>
      </c>
      <c r="M197" s="12" t="str">
        <f aca="false">IF(L197="","",IF(ABS(L197)&lt;MinDrive,"kein Trade",IF(L197&gt;0,"Short","Long")))</f>
        <v/>
      </c>
      <c r="N197" s="12" t="str">
        <f aca="false">IF(OR(M197="",M197="kein Trade"),"",IF(H197="","kein Signal","Trade"))</f>
        <v/>
      </c>
      <c r="O197" s="13" t="str">
        <f aca="false">IF(N197&lt;&gt;"Trade","",IF(M197="Short",D197,E197))</f>
        <v/>
      </c>
      <c r="P197" s="13" t="str">
        <f aca="false">IF(N197&lt;&gt;"Trade","",ABS(H197-O197))</f>
        <v/>
      </c>
      <c r="Q197" s="13" t="str">
        <f aca="false">IF(N197&lt;&gt;"Trade","",H197+IF(M197="Long",1,-1)*ZielR*P197)</f>
        <v/>
      </c>
      <c r="R197" s="13" t="str">
        <f aca="false">IF(OR(N197&lt;&gt;"Trade",I197=""),"",IF(I197="Ziel",Q197,IF(I197="Stop",O197,IF(J197="","",J197))))</f>
        <v/>
      </c>
      <c r="S197" s="13" t="str">
        <f aca="false">IF(R197="","",(R197-H197)*IF(M197="Long",1,-1)-2*Slippage)</f>
        <v/>
      </c>
      <c r="T197" s="14" t="str">
        <f aca="false">IF(OR(S197="",P197=0),"",S197/P197)</f>
        <v/>
      </c>
      <c r="U197" s="15" t="str">
        <f aca="false">IF(S197="","",S197*Punktwert*Kontrakte-Kommission*Kontrakte)</f>
        <v/>
      </c>
      <c r="V197" s="15" t="str">
        <f aca="false">IF(U197="","",SUM($U$5:U197))</f>
        <v/>
      </c>
      <c r="W197" s="15" t="str">
        <f aca="false">IF(V197="","",MAX(0,MAX($V$5:V197)))</f>
        <v/>
      </c>
      <c r="X197" s="15" t="str">
        <f aca="false">IF(V197="","",V197-W197)</f>
        <v/>
      </c>
      <c r="Y197" s="12" t="str">
        <f aca="false">IF(N197&lt;&gt;"Trade","",IF(P197=0,"Stop = Einstieg?",IF(I197="","Ergebnis eintragen",IF(AND(I197="Zeit",J197=""),"Kurs 11:30 fehlt",IF(OR(AND(M197="Short",H197&gt;F197),AND(M197="Long",H197&lt;G197)),"Einstieg prüfen","ok")))))</f>
        <v/>
      </c>
      <c r="Z197" s="16" t="str">
        <f aca="false">IF(A197="","",WEEKDAY(A197,2))</f>
        <v/>
      </c>
    </row>
    <row r="198" customFormat="false" ht="15" hidden="false" customHeight="false" outlineLevel="0" collapsed="false">
      <c r="A198" s="8"/>
      <c r="B198" s="9"/>
      <c r="C198" s="9"/>
      <c r="D198" s="9"/>
      <c r="E198" s="9"/>
      <c r="F198" s="9"/>
      <c r="G198" s="9"/>
      <c r="H198" s="9"/>
      <c r="I198" s="10"/>
      <c r="J198" s="9"/>
      <c r="K198" s="10"/>
      <c r="L198" s="11" t="str">
        <f aca="false">IF(OR(B198="",C198=""),"",(C198-B198)/B198)</f>
        <v/>
      </c>
      <c r="M198" s="12" t="str">
        <f aca="false">IF(L198="","",IF(ABS(L198)&lt;MinDrive,"kein Trade",IF(L198&gt;0,"Short","Long")))</f>
        <v/>
      </c>
      <c r="N198" s="12" t="str">
        <f aca="false">IF(OR(M198="",M198="kein Trade"),"",IF(H198="","kein Signal","Trade"))</f>
        <v/>
      </c>
      <c r="O198" s="13" t="str">
        <f aca="false">IF(N198&lt;&gt;"Trade","",IF(M198="Short",D198,E198))</f>
        <v/>
      </c>
      <c r="P198" s="13" t="str">
        <f aca="false">IF(N198&lt;&gt;"Trade","",ABS(H198-O198))</f>
        <v/>
      </c>
      <c r="Q198" s="13" t="str">
        <f aca="false">IF(N198&lt;&gt;"Trade","",H198+IF(M198="Long",1,-1)*ZielR*P198)</f>
        <v/>
      </c>
      <c r="R198" s="13" t="str">
        <f aca="false">IF(OR(N198&lt;&gt;"Trade",I198=""),"",IF(I198="Ziel",Q198,IF(I198="Stop",O198,IF(J198="","",J198))))</f>
        <v/>
      </c>
      <c r="S198" s="13" t="str">
        <f aca="false">IF(R198="","",(R198-H198)*IF(M198="Long",1,-1)-2*Slippage)</f>
        <v/>
      </c>
      <c r="T198" s="14" t="str">
        <f aca="false">IF(OR(S198="",P198=0),"",S198/P198)</f>
        <v/>
      </c>
      <c r="U198" s="15" t="str">
        <f aca="false">IF(S198="","",S198*Punktwert*Kontrakte-Kommission*Kontrakte)</f>
        <v/>
      </c>
      <c r="V198" s="15" t="str">
        <f aca="false">IF(U198="","",SUM($U$5:U198))</f>
        <v/>
      </c>
      <c r="W198" s="15" t="str">
        <f aca="false">IF(V198="","",MAX(0,MAX($V$5:V198)))</f>
        <v/>
      </c>
      <c r="X198" s="15" t="str">
        <f aca="false">IF(V198="","",V198-W198)</f>
        <v/>
      </c>
      <c r="Y198" s="12" t="str">
        <f aca="false">IF(N198&lt;&gt;"Trade","",IF(P198=0,"Stop = Einstieg?",IF(I198="","Ergebnis eintragen",IF(AND(I198="Zeit",J198=""),"Kurs 11:30 fehlt",IF(OR(AND(M198="Short",H198&gt;F198),AND(M198="Long",H198&lt;G198)),"Einstieg prüfen","ok")))))</f>
        <v/>
      </c>
      <c r="Z198" s="16" t="str">
        <f aca="false">IF(A198="","",WEEKDAY(A198,2))</f>
        <v/>
      </c>
    </row>
    <row r="199" customFormat="false" ht="15" hidden="false" customHeight="false" outlineLevel="0" collapsed="false">
      <c r="A199" s="8"/>
      <c r="B199" s="9"/>
      <c r="C199" s="9"/>
      <c r="D199" s="9"/>
      <c r="E199" s="9"/>
      <c r="F199" s="9"/>
      <c r="G199" s="9"/>
      <c r="H199" s="9"/>
      <c r="I199" s="10"/>
      <c r="J199" s="9"/>
      <c r="K199" s="10"/>
      <c r="L199" s="11" t="str">
        <f aca="false">IF(OR(B199="",C199=""),"",(C199-B199)/B199)</f>
        <v/>
      </c>
      <c r="M199" s="12" t="str">
        <f aca="false">IF(L199="","",IF(ABS(L199)&lt;MinDrive,"kein Trade",IF(L199&gt;0,"Short","Long")))</f>
        <v/>
      </c>
      <c r="N199" s="12" t="str">
        <f aca="false">IF(OR(M199="",M199="kein Trade"),"",IF(H199="","kein Signal","Trade"))</f>
        <v/>
      </c>
      <c r="O199" s="13" t="str">
        <f aca="false">IF(N199&lt;&gt;"Trade","",IF(M199="Short",D199,E199))</f>
        <v/>
      </c>
      <c r="P199" s="13" t="str">
        <f aca="false">IF(N199&lt;&gt;"Trade","",ABS(H199-O199))</f>
        <v/>
      </c>
      <c r="Q199" s="13" t="str">
        <f aca="false">IF(N199&lt;&gt;"Trade","",H199+IF(M199="Long",1,-1)*ZielR*P199)</f>
        <v/>
      </c>
      <c r="R199" s="13" t="str">
        <f aca="false">IF(OR(N199&lt;&gt;"Trade",I199=""),"",IF(I199="Ziel",Q199,IF(I199="Stop",O199,IF(J199="","",J199))))</f>
        <v/>
      </c>
      <c r="S199" s="13" t="str">
        <f aca="false">IF(R199="","",(R199-H199)*IF(M199="Long",1,-1)-2*Slippage)</f>
        <v/>
      </c>
      <c r="T199" s="14" t="str">
        <f aca="false">IF(OR(S199="",P199=0),"",S199/P199)</f>
        <v/>
      </c>
      <c r="U199" s="15" t="str">
        <f aca="false">IF(S199="","",S199*Punktwert*Kontrakte-Kommission*Kontrakte)</f>
        <v/>
      </c>
      <c r="V199" s="15" t="str">
        <f aca="false">IF(U199="","",SUM($U$5:U199))</f>
        <v/>
      </c>
      <c r="W199" s="15" t="str">
        <f aca="false">IF(V199="","",MAX(0,MAX($V$5:V199)))</f>
        <v/>
      </c>
      <c r="X199" s="15" t="str">
        <f aca="false">IF(V199="","",V199-W199)</f>
        <v/>
      </c>
      <c r="Y199" s="12" t="str">
        <f aca="false">IF(N199&lt;&gt;"Trade","",IF(P199=0,"Stop = Einstieg?",IF(I199="","Ergebnis eintragen",IF(AND(I199="Zeit",J199=""),"Kurs 11:30 fehlt",IF(OR(AND(M199="Short",H199&gt;F199),AND(M199="Long",H199&lt;G199)),"Einstieg prüfen","ok")))))</f>
        <v/>
      </c>
      <c r="Z199" s="16" t="str">
        <f aca="false">IF(A199="","",WEEKDAY(A199,2))</f>
        <v/>
      </c>
    </row>
    <row r="200" customFormat="false" ht="15" hidden="false" customHeight="false" outlineLevel="0" collapsed="false">
      <c r="A200" s="8"/>
      <c r="B200" s="9"/>
      <c r="C200" s="9"/>
      <c r="D200" s="9"/>
      <c r="E200" s="9"/>
      <c r="F200" s="9"/>
      <c r="G200" s="9"/>
      <c r="H200" s="9"/>
      <c r="I200" s="10"/>
      <c r="J200" s="9"/>
      <c r="K200" s="10"/>
      <c r="L200" s="11" t="str">
        <f aca="false">IF(OR(B200="",C200=""),"",(C200-B200)/B200)</f>
        <v/>
      </c>
      <c r="M200" s="12" t="str">
        <f aca="false">IF(L200="","",IF(ABS(L200)&lt;MinDrive,"kein Trade",IF(L200&gt;0,"Short","Long")))</f>
        <v/>
      </c>
      <c r="N200" s="12" t="str">
        <f aca="false">IF(OR(M200="",M200="kein Trade"),"",IF(H200="","kein Signal","Trade"))</f>
        <v/>
      </c>
      <c r="O200" s="13" t="str">
        <f aca="false">IF(N200&lt;&gt;"Trade","",IF(M200="Short",D200,E200))</f>
        <v/>
      </c>
      <c r="P200" s="13" t="str">
        <f aca="false">IF(N200&lt;&gt;"Trade","",ABS(H200-O200))</f>
        <v/>
      </c>
      <c r="Q200" s="13" t="str">
        <f aca="false">IF(N200&lt;&gt;"Trade","",H200+IF(M200="Long",1,-1)*ZielR*P200)</f>
        <v/>
      </c>
      <c r="R200" s="13" t="str">
        <f aca="false">IF(OR(N200&lt;&gt;"Trade",I200=""),"",IF(I200="Ziel",Q200,IF(I200="Stop",O200,IF(J200="","",J200))))</f>
        <v/>
      </c>
      <c r="S200" s="13" t="str">
        <f aca="false">IF(R200="","",(R200-H200)*IF(M200="Long",1,-1)-2*Slippage)</f>
        <v/>
      </c>
      <c r="T200" s="14" t="str">
        <f aca="false">IF(OR(S200="",P200=0),"",S200/P200)</f>
        <v/>
      </c>
      <c r="U200" s="15" t="str">
        <f aca="false">IF(S200="","",S200*Punktwert*Kontrakte-Kommission*Kontrakte)</f>
        <v/>
      </c>
      <c r="V200" s="15" t="str">
        <f aca="false">IF(U200="","",SUM($U$5:U200))</f>
        <v/>
      </c>
      <c r="W200" s="15" t="str">
        <f aca="false">IF(V200="","",MAX(0,MAX($V$5:V200)))</f>
        <v/>
      </c>
      <c r="X200" s="15" t="str">
        <f aca="false">IF(V200="","",V200-W200)</f>
        <v/>
      </c>
      <c r="Y200" s="12" t="str">
        <f aca="false">IF(N200&lt;&gt;"Trade","",IF(P200=0,"Stop = Einstieg?",IF(I200="","Ergebnis eintragen",IF(AND(I200="Zeit",J200=""),"Kurs 11:30 fehlt",IF(OR(AND(M200="Short",H200&gt;F200),AND(M200="Long",H200&lt;G200)),"Einstieg prüfen","ok")))))</f>
        <v/>
      </c>
      <c r="Z200" s="16" t="str">
        <f aca="false">IF(A200="","",WEEKDAY(A200,2))</f>
        <v/>
      </c>
    </row>
    <row r="201" customFormat="false" ht="15" hidden="false" customHeight="false" outlineLevel="0" collapsed="false">
      <c r="A201" s="8"/>
      <c r="B201" s="9"/>
      <c r="C201" s="9"/>
      <c r="D201" s="9"/>
      <c r="E201" s="9"/>
      <c r="F201" s="9"/>
      <c r="G201" s="9"/>
      <c r="H201" s="9"/>
      <c r="I201" s="10"/>
      <c r="J201" s="9"/>
      <c r="K201" s="10"/>
      <c r="L201" s="11" t="str">
        <f aca="false">IF(OR(B201="",C201=""),"",(C201-B201)/B201)</f>
        <v/>
      </c>
      <c r="M201" s="12" t="str">
        <f aca="false">IF(L201="","",IF(ABS(L201)&lt;MinDrive,"kein Trade",IF(L201&gt;0,"Short","Long")))</f>
        <v/>
      </c>
      <c r="N201" s="12" t="str">
        <f aca="false">IF(OR(M201="",M201="kein Trade"),"",IF(H201="","kein Signal","Trade"))</f>
        <v/>
      </c>
      <c r="O201" s="13" t="str">
        <f aca="false">IF(N201&lt;&gt;"Trade","",IF(M201="Short",D201,E201))</f>
        <v/>
      </c>
      <c r="P201" s="13" t="str">
        <f aca="false">IF(N201&lt;&gt;"Trade","",ABS(H201-O201))</f>
        <v/>
      </c>
      <c r="Q201" s="13" t="str">
        <f aca="false">IF(N201&lt;&gt;"Trade","",H201+IF(M201="Long",1,-1)*ZielR*P201)</f>
        <v/>
      </c>
      <c r="R201" s="13" t="str">
        <f aca="false">IF(OR(N201&lt;&gt;"Trade",I201=""),"",IF(I201="Ziel",Q201,IF(I201="Stop",O201,IF(J201="","",J201))))</f>
        <v/>
      </c>
      <c r="S201" s="13" t="str">
        <f aca="false">IF(R201="","",(R201-H201)*IF(M201="Long",1,-1)-2*Slippage)</f>
        <v/>
      </c>
      <c r="T201" s="14" t="str">
        <f aca="false">IF(OR(S201="",P201=0),"",S201/P201)</f>
        <v/>
      </c>
      <c r="U201" s="15" t="str">
        <f aca="false">IF(S201="","",S201*Punktwert*Kontrakte-Kommission*Kontrakte)</f>
        <v/>
      </c>
      <c r="V201" s="15" t="str">
        <f aca="false">IF(U201="","",SUM($U$5:U201))</f>
        <v/>
      </c>
      <c r="W201" s="15" t="str">
        <f aca="false">IF(V201="","",MAX(0,MAX($V$5:V201)))</f>
        <v/>
      </c>
      <c r="X201" s="15" t="str">
        <f aca="false">IF(V201="","",V201-W201)</f>
        <v/>
      </c>
      <c r="Y201" s="12" t="str">
        <f aca="false">IF(N201&lt;&gt;"Trade","",IF(P201=0,"Stop = Einstieg?",IF(I201="","Ergebnis eintragen",IF(AND(I201="Zeit",J201=""),"Kurs 11:30 fehlt",IF(OR(AND(M201="Short",H201&gt;F201),AND(M201="Long",H201&lt;G201)),"Einstieg prüfen","ok")))))</f>
        <v/>
      </c>
      <c r="Z201" s="16" t="str">
        <f aca="false">IF(A201="","",WEEKDAY(A201,2))</f>
        <v/>
      </c>
    </row>
    <row r="202" customFormat="false" ht="15" hidden="false" customHeight="false" outlineLevel="0" collapsed="false">
      <c r="A202" s="8"/>
      <c r="B202" s="9"/>
      <c r="C202" s="9"/>
      <c r="D202" s="9"/>
      <c r="E202" s="9"/>
      <c r="F202" s="9"/>
      <c r="G202" s="9"/>
      <c r="H202" s="9"/>
      <c r="I202" s="10"/>
      <c r="J202" s="9"/>
      <c r="K202" s="10"/>
      <c r="L202" s="11" t="str">
        <f aca="false">IF(OR(B202="",C202=""),"",(C202-B202)/B202)</f>
        <v/>
      </c>
      <c r="M202" s="12" t="str">
        <f aca="false">IF(L202="","",IF(ABS(L202)&lt;MinDrive,"kein Trade",IF(L202&gt;0,"Short","Long")))</f>
        <v/>
      </c>
      <c r="N202" s="12" t="str">
        <f aca="false">IF(OR(M202="",M202="kein Trade"),"",IF(H202="","kein Signal","Trade"))</f>
        <v/>
      </c>
      <c r="O202" s="13" t="str">
        <f aca="false">IF(N202&lt;&gt;"Trade","",IF(M202="Short",D202,E202))</f>
        <v/>
      </c>
      <c r="P202" s="13" t="str">
        <f aca="false">IF(N202&lt;&gt;"Trade","",ABS(H202-O202))</f>
        <v/>
      </c>
      <c r="Q202" s="13" t="str">
        <f aca="false">IF(N202&lt;&gt;"Trade","",H202+IF(M202="Long",1,-1)*ZielR*P202)</f>
        <v/>
      </c>
      <c r="R202" s="13" t="str">
        <f aca="false">IF(OR(N202&lt;&gt;"Trade",I202=""),"",IF(I202="Ziel",Q202,IF(I202="Stop",O202,IF(J202="","",J202))))</f>
        <v/>
      </c>
      <c r="S202" s="13" t="str">
        <f aca="false">IF(R202="","",(R202-H202)*IF(M202="Long",1,-1)-2*Slippage)</f>
        <v/>
      </c>
      <c r="T202" s="14" t="str">
        <f aca="false">IF(OR(S202="",P202=0),"",S202/P202)</f>
        <v/>
      </c>
      <c r="U202" s="15" t="str">
        <f aca="false">IF(S202="","",S202*Punktwert*Kontrakte-Kommission*Kontrakte)</f>
        <v/>
      </c>
      <c r="V202" s="15" t="str">
        <f aca="false">IF(U202="","",SUM($U$5:U202))</f>
        <v/>
      </c>
      <c r="W202" s="15" t="str">
        <f aca="false">IF(V202="","",MAX(0,MAX($V$5:V202)))</f>
        <v/>
      </c>
      <c r="X202" s="15" t="str">
        <f aca="false">IF(V202="","",V202-W202)</f>
        <v/>
      </c>
      <c r="Y202" s="12" t="str">
        <f aca="false">IF(N202&lt;&gt;"Trade","",IF(P202=0,"Stop = Einstieg?",IF(I202="","Ergebnis eintragen",IF(AND(I202="Zeit",J202=""),"Kurs 11:30 fehlt",IF(OR(AND(M202="Short",H202&gt;F202),AND(M202="Long",H202&lt;G202)),"Einstieg prüfen","ok")))))</f>
        <v/>
      </c>
      <c r="Z202" s="16" t="str">
        <f aca="false">IF(A202="","",WEEKDAY(A202,2))</f>
        <v/>
      </c>
    </row>
    <row r="203" customFormat="false" ht="15" hidden="false" customHeight="false" outlineLevel="0" collapsed="false">
      <c r="A203" s="8"/>
      <c r="B203" s="9"/>
      <c r="C203" s="9"/>
      <c r="D203" s="9"/>
      <c r="E203" s="9"/>
      <c r="F203" s="9"/>
      <c r="G203" s="9"/>
      <c r="H203" s="9"/>
      <c r="I203" s="10"/>
      <c r="J203" s="9"/>
      <c r="K203" s="10"/>
      <c r="L203" s="11" t="str">
        <f aca="false">IF(OR(B203="",C203=""),"",(C203-B203)/B203)</f>
        <v/>
      </c>
      <c r="M203" s="12" t="str">
        <f aca="false">IF(L203="","",IF(ABS(L203)&lt;MinDrive,"kein Trade",IF(L203&gt;0,"Short","Long")))</f>
        <v/>
      </c>
      <c r="N203" s="12" t="str">
        <f aca="false">IF(OR(M203="",M203="kein Trade"),"",IF(H203="","kein Signal","Trade"))</f>
        <v/>
      </c>
      <c r="O203" s="13" t="str">
        <f aca="false">IF(N203&lt;&gt;"Trade","",IF(M203="Short",D203,E203))</f>
        <v/>
      </c>
      <c r="P203" s="13" t="str">
        <f aca="false">IF(N203&lt;&gt;"Trade","",ABS(H203-O203))</f>
        <v/>
      </c>
      <c r="Q203" s="13" t="str">
        <f aca="false">IF(N203&lt;&gt;"Trade","",H203+IF(M203="Long",1,-1)*ZielR*P203)</f>
        <v/>
      </c>
      <c r="R203" s="13" t="str">
        <f aca="false">IF(OR(N203&lt;&gt;"Trade",I203=""),"",IF(I203="Ziel",Q203,IF(I203="Stop",O203,IF(J203="","",J203))))</f>
        <v/>
      </c>
      <c r="S203" s="13" t="str">
        <f aca="false">IF(R203="","",(R203-H203)*IF(M203="Long",1,-1)-2*Slippage)</f>
        <v/>
      </c>
      <c r="T203" s="14" t="str">
        <f aca="false">IF(OR(S203="",P203=0),"",S203/P203)</f>
        <v/>
      </c>
      <c r="U203" s="15" t="str">
        <f aca="false">IF(S203="","",S203*Punktwert*Kontrakte-Kommission*Kontrakte)</f>
        <v/>
      </c>
      <c r="V203" s="15" t="str">
        <f aca="false">IF(U203="","",SUM($U$5:U203))</f>
        <v/>
      </c>
      <c r="W203" s="15" t="str">
        <f aca="false">IF(V203="","",MAX(0,MAX($V$5:V203)))</f>
        <v/>
      </c>
      <c r="X203" s="15" t="str">
        <f aca="false">IF(V203="","",V203-W203)</f>
        <v/>
      </c>
      <c r="Y203" s="12" t="str">
        <f aca="false">IF(N203&lt;&gt;"Trade","",IF(P203=0,"Stop = Einstieg?",IF(I203="","Ergebnis eintragen",IF(AND(I203="Zeit",J203=""),"Kurs 11:30 fehlt",IF(OR(AND(M203="Short",H203&gt;F203),AND(M203="Long",H203&lt;G203)),"Einstieg prüfen","ok")))))</f>
        <v/>
      </c>
      <c r="Z203" s="16" t="str">
        <f aca="false">IF(A203="","",WEEKDAY(A203,2))</f>
        <v/>
      </c>
    </row>
    <row r="204" customFormat="false" ht="15" hidden="false" customHeight="false" outlineLevel="0" collapsed="false">
      <c r="A204" s="8"/>
      <c r="B204" s="9"/>
      <c r="C204" s="9"/>
      <c r="D204" s="9"/>
      <c r="E204" s="9"/>
      <c r="F204" s="9"/>
      <c r="G204" s="9"/>
      <c r="H204" s="9"/>
      <c r="I204" s="10"/>
      <c r="J204" s="9"/>
      <c r="K204" s="10"/>
      <c r="L204" s="11" t="str">
        <f aca="false">IF(OR(B204="",C204=""),"",(C204-B204)/B204)</f>
        <v/>
      </c>
      <c r="M204" s="12" t="str">
        <f aca="false">IF(L204="","",IF(ABS(L204)&lt;MinDrive,"kein Trade",IF(L204&gt;0,"Short","Long")))</f>
        <v/>
      </c>
      <c r="N204" s="12" t="str">
        <f aca="false">IF(OR(M204="",M204="kein Trade"),"",IF(H204="","kein Signal","Trade"))</f>
        <v/>
      </c>
      <c r="O204" s="13" t="str">
        <f aca="false">IF(N204&lt;&gt;"Trade","",IF(M204="Short",D204,E204))</f>
        <v/>
      </c>
      <c r="P204" s="13" t="str">
        <f aca="false">IF(N204&lt;&gt;"Trade","",ABS(H204-O204))</f>
        <v/>
      </c>
      <c r="Q204" s="13" t="str">
        <f aca="false">IF(N204&lt;&gt;"Trade","",H204+IF(M204="Long",1,-1)*ZielR*P204)</f>
        <v/>
      </c>
      <c r="R204" s="13" t="str">
        <f aca="false">IF(OR(N204&lt;&gt;"Trade",I204=""),"",IF(I204="Ziel",Q204,IF(I204="Stop",O204,IF(J204="","",J204))))</f>
        <v/>
      </c>
      <c r="S204" s="13" t="str">
        <f aca="false">IF(R204="","",(R204-H204)*IF(M204="Long",1,-1)-2*Slippage)</f>
        <v/>
      </c>
      <c r="T204" s="14" t="str">
        <f aca="false">IF(OR(S204="",P204=0),"",S204/P204)</f>
        <v/>
      </c>
      <c r="U204" s="15" t="str">
        <f aca="false">IF(S204="","",S204*Punktwert*Kontrakte-Kommission*Kontrakte)</f>
        <v/>
      </c>
      <c r="V204" s="15" t="str">
        <f aca="false">IF(U204="","",SUM($U$5:U204))</f>
        <v/>
      </c>
      <c r="W204" s="15" t="str">
        <f aca="false">IF(V204="","",MAX(0,MAX($V$5:V204)))</f>
        <v/>
      </c>
      <c r="X204" s="15" t="str">
        <f aca="false">IF(V204="","",V204-W204)</f>
        <v/>
      </c>
      <c r="Y204" s="12" t="str">
        <f aca="false">IF(N204&lt;&gt;"Trade","",IF(P204=0,"Stop = Einstieg?",IF(I204="","Ergebnis eintragen",IF(AND(I204="Zeit",J204=""),"Kurs 11:30 fehlt",IF(OR(AND(M204="Short",H204&gt;F204),AND(M204="Long",H204&lt;G204)),"Einstieg prüfen","ok")))))</f>
        <v/>
      </c>
      <c r="Z204" s="16" t="str">
        <f aca="false">IF(A204="","",WEEKDAY(A204,2))</f>
        <v/>
      </c>
    </row>
  </sheetData>
  <conditionalFormatting sqref="U5:U204">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T5:T204">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dataValidations count="1">
    <dataValidation allowBlank="true" error="Bitte Ziel, Stop oder Zeit wählen." errorStyle="stop" errorTitle="Ergebnis" operator="between" showDropDown="false" showErrorMessage="false" showInputMessage="false" sqref="I5:I204" type="list">
      <formula1>"Ziel,Stop,Zeit"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4"/>
  </cols>
  <sheetData>
    <row r="1" customFormat="false" ht="17.35" hidden="false" customHeight="false" outlineLevel="0" collapsed="false">
      <c r="A1" s="4" t="s">
        <v>50</v>
      </c>
    </row>
    <row r="2" customFormat="false" ht="15" hidden="false" customHeight="false" outlineLevel="0" collapsed="false">
      <c r="A2" s="5" t="s">
        <v>51</v>
      </c>
    </row>
    <row r="4" customFormat="false" ht="15" hidden="false" customHeight="false" outlineLevel="0" collapsed="false">
      <c r="A4" s="17" t="s">
        <v>52</v>
      </c>
      <c r="B4" s="18" t="n">
        <f aca="false">IF(COUNT(Journal!$A$5:$A$204)=0,"",MIN(Journal!$A$5:$A$204))</f>
        <v>46287</v>
      </c>
    </row>
    <row r="5" customFormat="false" ht="15" hidden="false" customHeight="false" outlineLevel="0" collapsed="false">
      <c r="A5" s="17" t="s">
        <v>53</v>
      </c>
      <c r="B5" s="18" t="n">
        <f aca="false">IF(COUNT(Journal!$A$5:$A$204)=0,"",MAX(Journal!$A$5:$A$204))</f>
        <v>46316</v>
      </c>
    </row>
    <row r="6" customFormat="false" ht="15" hidden="false" customHeight="false" outlineLevel="0" collapsed="false">
      <c r="A6" s="17" t="s">
        <v>54</v>
      </c>
      <c r="B6" s="19" t="n">
        <f aca="false">COUNT(Journal!$L$5:$L$204)</f>
        <v>0</v>
      </c>
    </row>
    <row r="7" customFormat="false" ht="15" hidden="false" customHeight="false" outlineLevel="0" collapsed="false">
      <c r="A7" s="17" t="s">
        <v>55</v>
      </c>
      <c r="B7" s="19" t="n">
        <f aca="false">COUNTIF(Journal!$N$5:$N$204,"Trade")</f>
        <v>0</v>
      </c>
    </row>
    <row r="8" customFormat="false" ht="15" hidden="false" customHeight="false" outlineLevel="0" collapsed="false">
      <c r="A8" s="17" t="s">
        <v>56</v>
      </c>
      <c r="B8" s="19" t="n">
        <f aca="false">COUNT(Journal!$U$5:$U$204)</f>
        <v>0</v>
      </c>
    </row>
    <row r="9" customFormat="false" ht="15" hidden="false" customHeight="false" outlineLevel="0" collapsed="false">
      <c r="A9" s="17" t="s">
        <v>57</v>
      </c>
      <c r="B9" s="19" t="n">
        <f aca="false">COUNTIF(Journal!$U$5:$U$204,"&gt;0")</f>
        <v>0</v>
      </c>
    </row>
    <row r="10" customFormat="false" ht="15" hidden="false" customHeight="false" outlineLevel="0" collapsed="false">
      <c r="A10" s="17" t="s">
        <v>58</v>
      </c>
      <c r="B10" s="19" t="n">
        <f aca="false">COUNTIF(Journal!$U$5:$U$204,"&lt;=0")</f>
        <v>0</v>
      </c>
    </row>
    <row r="11" customFormat="false" ht="15" hidden="false" customHeight="false" outlineLevel="0" collapsed="false">
      <c r="A11" s="17" t="s">
        <v>59</v>
      </c>
      <c r="B11" s="20" t="str">
        <f aca="false">IF(B8=0,"",B9/B8)</f>
        <v/>
      </c>
    </row>
    <row r="12" customFormat="false" ht="15" hidden="false" customHeight="false" outlineLevel="0" collapsed="false">
      <c r="A12" s="17" t="s">
        <v>60</v>
      </c>
      <c r="B12" s="21" t="n">
        <f aca="false">SUM(Journal!$U$5:$U$204)</f>
        <v>0</v>
      </c>
    </row>
    <row r="13" customFormat="false" ht="15" hidden="false" customHeight="false" outlineLevel="0" collapsed="false">
      <c r="A13" s="17" t="s">
        <v>61</v>
      </c>
      <c r="B13" s="21" t="str">
        <f aca="false">IF(B8=0,"",AVERAGE(Journal!$U$5:$U$204))</f>
        <v/>
      </c>
    </row>
    <row r="14" customFormat="false" ht="15" hidden="false" customHeight="false" outlineLevel="0" collapsed="false">
      <c r="A14" s="17" t="s">
        <v>62</v>
      </c>
      <c r="B14" s="22" t="str">
        <f aca="false">IF(COUNT(Journal!$T$5:$T$204)=0,"",AVERAGE(Journal!$T$5:$T$204))</f>
        <v/>
      </c>
    </row>
    <row r="15" customFormat="false" ht="15" hidden="false" customHeight="false" outlineLevel="0" collapsed="false">
      <c r="A15" s="17" t="s">
        <v>63</v>
      </c>
      <c r="B15" s="23" t="str">
        <f aca="false">IF(SUMIF(Journal!$U$5:$U$204,"&lt;0")=0,"",SUMIF(Journal!$U$5:$U$204,"&gt;0")/-SUMIF(Journal!$U$5:$U$204,"&lt;0"))</f>
        <v/>
      </c>
    </row>
    <row r="16" customFormat="false" ht="15" hidden="false" customHeight="false" outlineLevel="0" collapsed="false">
      <c r="A16" s="17" t="s">
        <v>64</v>
      </c>
      <c r="B16" s="21" t="str">
        <f aca="false">IF(B8=0,"",MAX(Journal!$U$5:$U$204))</f>
        <v/>
      </c>
    </row>
    <row r="17" customFormat="false" ht="15" hidden="false" customHeight="false" outlineLevel="0" collapsed="false">
      <c r="A17" s="17" t="s">
        <v>65</v>
      </c>
      <c r="B17" s="21" t="str">
        <f aca="false">IF(B8=0,"",MIN(Journal!$U$5:$U$204))</f>
        <v/>
      </c>
    </row>
    <row r="18" customFormat="false" ht="15" hidden="false" customHeight="false" outlineLevel="0" collapsed="false">
      <c r="A18" s="17" t="s">
        <v>66</v>
      </c>
      <c r="B18" s="21" t="n">
        <f aca="false">MIN(Journal!$X$5:$X$204)</f>
        <v>0</v>
      </c>
    </row>
    <row r="19" customFormat="false" ht="15" hidden="false" customHeight="false" outlineLevel="0" collapsed="false">
      <c r="A19" s="17" t="s">
        <v>67</v>
      </c>
      <c r="B19" s="19" t="n">
        <f aca="false">COUNTIFS(Journal!$N$5:$N$204,"Trade",Journal!$I$5:$I$204,"Ziel")</f>
        <v>0</v>
      </c>
    </row>
    <row r="20" customFormat="false" ht="15" hidden="false" customHeight="false" outlineLevel="0" collapsed="false">
      <c r="A20" s="17" t="s">
        <v>68</v>
      </c>
      <c r="B20" s="19" t="n">
        <f aca="false">COUNTIFS(Journal!$N$5:$N$204,"Trade",Journal!$I$5:$I$204,"Stop")</f>
        <v>0</v>
      </c>
    </row>
    <row r="21" customFormat="false" ht="15" hidden="false" customHeight="false" outlineLevel="0" collapsed="false">
      <c r="A21" s="17" t="s">
        <v>69</v>
      </c>
      <c r="B21" s="19" t="n">
        <f aca="false">COUNTIFS(Journal!$N$5:$N$204,"Trade",Journal!$I$5:$I$204,"Zeit")</f>
        <v>0</v>
      </c>
    </row>
    <row r="24" customFormat="false" ht="15" hidden="false" customHeight="false" outlineLevel="0" collapsed="false">
      <c r="A24" s="24" t="s">
        <v>70</v>
      </c>
    </row>
    <row r="25" customFormat="false" ht="15" hidden="false" customHeight="false" outlineLevel="0" collapsed="false">
      <c r="A25" s="25" t="s">
        <v>71</v>
      </c>
      <c r="B25" s="25" t="s">
        <v>72</v>
      </c>
      <c r="C25" s="25" t="s">
        <v>57</v>
      </c>
      <c r="D25" s="25" t="s">
        <v>59</v>
      </c>
      <c r="E25" s="25" t="s">
        <v>44</v>
      </c>
      <c r="F25" s="25" t="s">
        <v>73</v>
      </c>
    </row>
    <row r="26" customFormat="false" ht="15" hidden="false" customHeight="false" outlineLevel="0" collapsed="false">
      <c r="A26" s="26" t="n">
        <f aca="false">IF(COUNT(Journal!$A$5:$A$204)=0,"",DATE(YEAR(MIN(Journal!$A$5:$A$204)),MONTH(MIN(Journal!$A$5:$A$204)),1))</f>
        <v>46266</v>
      </c>
      <c r="B26" s="17" t="n">
        <f aca="false">IF($A26="","",COUNTIFS(Journal!$U$5:$U$204,"&gt;-1E+99",Journal!$A$5:$A$204,"&gt;="&amp;$A26,Journal!$A$5:$A$204,"&lt;"&amp;EDATE($A26,1)))</f>
        <v>0</v>
      </c>
      <c r="C26" s="17" t="n">
        <f aca="false">IF($A26="","",COUNTIFS(Journal!$U$5:$U$204,"&gt;0",Journal!$A$5:$A$204,"&gt;="&amp;$A26,Journal!$A$5:$A$204,"&lt;"&amp;EDATE($A26,1)))</f>
        <v>0</v>
      </c>
      <c r="D26" s="27" t="str">
        <f aca="false">IF(OR($A26="",N(B26)=0),"",C26/B26)</f>
        <v/>
      </c>
      <c r="E26" s="28" t="n">
        <f aca="false">IF($A26="","",SUMIFS(Journal!$U$5:$U$204,Journal!$A$5:$A$204,"&gt;="&amp;$A26,Journal!$A$5:$A$204,"&lt;"&amp;EDATE($A26,1)))</f>
        <v>0</v>
      </c>
      <c r="F26" s="29" t="str">
        <f aca="false">IF(OR($A26="",N(B26)=0),"",SUMIFS(Journal!$T$5:$T$204,Journal!$A$5:$A$204,"&gt;="&amp;$A26,Journal!$A$5:$A$204,"&lt;"&amp;EDATE($A26,1))/B26)</f>
        <v/>
      </c>
    </row>
    <row r="27" customFormat="false" ht="15" hidden="false" customHeight="false" outlineLevel="0" collapsed="false">
      <c r="A27" s="26" t="n">
        <f aca="false">IF(A26="","",IF(EDATE(A26,1)&gt;MAX(Journal!$A$5:$A$204),"",EDATE(A26,1)))</f>
        <v>46296</v>
      </c>
      <c r="B27" s="17" t="n">
        <f aca="false">IF($A27="","",COUNTIFS(Journal!$U$5:$U$204,"&gt;-1E+99",Journal!$A$5:$A$204,"&gt;="&amp;$A27,Journal!$A$5:$A$204,"&lt;"&amp;EDATE($A27,1)))</f>
        <v>0</v>
      </c>
      <c r="C27" s="17" t="n">
        <f aca="false">IF($A27="","",COUNTIFS(Journal!$U$5:$U$204,"&gt;0",Journal!$A$5:$A$204,"&gt;="&amp;$A27,Journal!$A$5:$A$204,"&lt;"&amp;EDATE($A27,1)))</f>
        <v>0</v>
      </c>
      <c r="D27" s="27" t="str">
        <f aca="false">IF(OR($A27="",N(B27)=0),"",C27/B27)</f>
        <v/>
      </c>
      <c r="E27" s="28" t="n">
        <f aca="false">IF($A27="","",SUMIFS(Journal!$U$5:$U$204,Journal!$A$5:$A$204,"&gt;="&amp;$A27,Journal!$A$5:$A$204,"&lt;"&amp;EDATE($A27,1)))</f>
        <v>0</v>
      </c>
      <c r="F27" s="29" t="str">
        <f aca="false">IF(OR($A27="",N(B27)=0),"",SUMIFS(Journal!$T$5:$T$204,Journal!$A$5:$A$204,"&gt;="&amp;$A27,Journal!$A$5:$A$204,"&lt;"&amp;EDATE($A27,1))/B27)</f>
        <v/>
      </c>
    </row>
    <row r="28" customFormat="false" ht="15" hidden="false" customHeight="false" outlineLevel="0" collapsed="false">
      <c r="A28" s="26" t="str">
        <f aca="false">IF(A27="","",IF(EDATE(A27,1)&gt;MAX(Journal!$A$5:$A$204),"",EDATE(A27,1)))</f>
        <v/>
      </c>
      <c r="B28" s="17" t="str">
        <f aca="false">IF($A28="","",COUNTIFS(Journal!$U$5:$U$204,"&gt;-1E+99",Journal!$A$5:$A$204,"&gt;="&amp;$A28,Journal!$A$5:$A$204,"&lt;"&amp;EDATE($A28,1)))</f>
        <v/>
      </c>
      <c r="C28" s="17" t="str">
        <f aca="false">IF($A28="","",COUNTIFS(Journal!$U$5:$U$204,"&gt;0",Journal!$A$5:$A$204,"&gt;="&amp;$A28,Journal!$A$5:$A$204,"&lt;"&amp;EDATE($A28,1)))</f>
        <v/>
      </c>
      <c r="D28" s="27" t="str">
        <f aca="false">IF(OR($A28="",N(B28)=0),"",C28/B28)</f>
        <v/>
      </c>
      <c r="E28" s="28" t="str">
        <f aca="false">IF($A28="","",SUMIFS(Journal!$U$5:$U$204,Journal!$A$5:$A$204,"&gt;="&amp;$A28,Journal!$A$5:$A$204,"&lt;"&amp;EDATE($A28,1)))</f>
        <v/>
      </c>
      <c r="F28" s="29" t="str">
        <f aca="false">IF(OR($A28="",N(B28)=0),"",SUMIFS(Journal!$T$5:$T$204,Journal!$A$5:$A$204,"&gt;="&amp;$A28,Journal!$A$5:$A$204,"&lt;"&amp;EDATE($A28,1))/B28)</f>
        <v/>
      </c>
    </row>
    <row r="29" customFormat="false" ht="15" hidden="false" customHeight="false" outlineLevel="0" collapsed="false">
      <c r="A29" s="26" t="str">
        <f aca="false">IF(A28="","",IF(EDATE(A28,1)&gt;MAX(Journal!$A$5:$A$204),"",EDATE(A28,1)))</f>
        <v/>
      </c>
      <c r="B29" s="17" t="str">
        <f aca="false">IF($A29="","",COUNTIFS(Journal!$U$5:$U$204,"&gt;-1E+99",Journal!$A$5:$A$204,"&gt;="&amp;$A29,Journal!$A$5:$A$204,"&lt;"&amp;EDATE($A29,1)))</f>
        <v/>
      </c>
      <c r="C29" s="17" t="str">
        <f aca="false">IF($A29="","",COUNTIFS(Journal!$U$5:$U$204,"&gt;0",Journal!$A$5:$A$204,"&gt;="&amp;$A29,Journal!$A$5:$A$204,"&lt;"&amp;EDATE($A29,1)))</f>
        <v/>
      </c>
      <c r="D29" s="27" t="str">
        <f aca="false">IF(OR($A29="",N(B29)=0),"",C29/B29)</f>
        <v/>
      </c>
      <c r="E29" s="28" t="str">
        <f aca="false">IF($A29="","",SUMIFS(Journal!$U$5:$U$204,Journal!$A$5:$A$204,"&gt;="&amp;$A29,Journal!$A$5:$A$204,"&lt;"&amp;EDATE($A29,1)))</f>
        <v/>
      </c>
      <c r="F29" s="29" t="str">
        <f aca="false">IF(OR($A29="",N(B29)=0),"",SUMIFS(Journal!$T$5:$T$204,Journal!$A$5:$A$204,"&gt;="&amp;$A29,Journal!$A$5:$A$204,"&lt;"&amp;EDATE($A29,1))/B29)</f>
        <v/>
      </c>
    </row>
    <row r="30" customFormat="false" ht="15" hidden="false" customHeight="false" outlineLevel="0" collapsed="false">
      <c r="A30" s="26" t="str">
        <f aca="false">IF(A29="","",IF(EDATE(A29,1)&gt;MAX(Journal!$A$5:$A$204),"",EDATE(A29,1)))</f>
        <v/>
      </c>
      <c r="B30" s="17" t="str">
        <f aca="false">IF($A30="","",COUNTIFS(Journal!$U$5:$U$204,"&gt;-1E+99",Journal!$A$5:$A$204,"&gt;="&amp;$A30,Journal!$A$5:$A$204,"&lt;"&amp;EDATE($A30,1)))</f>
        <v/>
      </c>
      <c r="C30" s="17" t="str">
        <f aca="false">IF($A30="","",COUNTIFS(Journal!$U$5:$U$204,"&gt;0",Journal!$A$5:$A$204,"&gt;="&amp;$A30,Journal!$A$5:$A$204,"&lt;"&amp;EDATE($A30,1)))</f>
        <v/>
      </c>
      <c r="D30" s="27" t="str">
        <f aca="false">IF(OR($A30="",N(B30)=0),"",C30/B30)</f>
        <v/>
      </c>
      <c r="E30" s="28" t="str">
        <f aca="false">IF($A30="","",SUMIFS(Journal!$U$5:$U$204,Journal!$A$5:$A$204,"&gt;="&amp;$A30,Journal!$A$5:$A$204,"&lt;"&amp;EDATE($A30,1)))</f>
        <v/>
      </c>
      <c r="F30" s="29" t="str">
        <f aca="false">IF(OR($A30="",N(B30)=0),"",SUMIFS(Journal!$T$5:$T$204,Journal!$A$5:$A$204,"&gt;="&amp;$A30,Journal!$A$5:$A$204,"&lt;"&amp;EDATE($A30,1))/B30)</f>
        <v/>
      </c>
    </row>
    <row r="31" customFormat="false" ht="15" hidden="false" customHeight="false" outlineLevel="0" collapsed="false">
      <c r="A31" s="26" t="str">
        <f aca="false">IF(A30="","",IF(EDATE(A30,1)&gt;MAX(Journal!$A$5:$A$204),"",EDATE(A30,1)))</f>
        <v/>
      </c>
      <c r="B31" s="17" t="str">
        <f aca="false">IF($A31="","",COUNTIFS(Journal!$U$5:$U$204,"&gt;-1E+99",Journal!$A$5:$A$204,"&gt;="&amp;$A31,Journal!$A$5:$A$204,"&lt;"&amp;EDATE($A31,1)))</f>
        <v/>
      </c>
      <c r="C31" s="17" t="str">
        <f aca="false">IF($A31="","",COUNTIFS(Journal!$U$5:$U$204,"&gt;0",Journal!$A$5:$A$204,"&gt;="&amp;$A31,Journal!$A$5:$A$204,"&lt;"&amp;EDATE($A31,1)))</f>
        <v/>
      </c>
      <c r="D31" s="27" t="str">
        <f aca="false">IF(OR($A31="",N(B31)=0),"",C31/B31)</f>
        <v/>
      </c>
      <c r="E31" s="28" t="str">
        <f aca="false">IF($A31="","",SUMIFS(Journal!$U$5:$U$204,Journal!$A$5:$A$204,"&gt;="&amp;$A31,Journal!$A$5:$A$204,"&lt;"&amp;EDATE($A31,1)))</f>
        <v/>
      </c>
      <c r="F31" s="29" t="str">
        <f aca="false">IF(OR($A31="",N(B31)=0),"",SUMIFS(Journal!$T$5:$T$204,Journal!$A$5:$A$204,"&gt;="&amp;$A31,Journal!$A$5:$A$204,"&lt;"&amp;EDATE($A31,1))/B31)</f>
        <v/>
      </c>
    </row>
    <row r="32" customFormat="false" ht="15" hidden="false" customHeight="false" outlineLevel="0" collapsed="false">
      <c r="A32" s="26" t="str">
        <f aca="false">IF(A31="","",IF(EDATE(A31,1)&gt;MAX(Journal!$A$5:$A$204),"",EDATE(A31,1)))</f>
        <v/>
      </c>
      <c r="B32" s="17" t="str">
        <f aca="false">IF($A32="","",COUNTIFS(Journal!$U$5:$U$204,"&gt;-1E+99",Journal!$A$5:$A$204,"&gt;="&amp;$A32,Journal!$A$5:$A$204,"&lt;"&amp;EDATE($A32,1)))</f>
        <v/>
      </c>
      <c r="C32" s="17" t="str">
        <f aca="false">IF($A32="","",COUNTIFS(Journal!$U$5:$U$204,"&gt;0",Journal!$A$5:$A$204,"&gt;="&amp;$A32,Journal!$A$5:$A$204,"&lt;"&amp;EDATE($A32,1)))</f>
        <v/>
      </c>
      <c r="D32" s="27" t="str">
        <f aca="false">IF(OR($A32="",N(B32)=0),"",C32/B32)</f>
        <v/>
      </c>
      <c r="E32" s="28" t="str">
        <f aca="false">IF($A32="","",SUMIFS(Journal!$U$5:$U$204,Journal!$A$5:$A$204,"&gt;="&amp;$A32,Journal!$A$5:$A$204,"&lt;"&amp;EDATE($A32,1)))</f>
        <v/>
      </c>
      <c r="F32" s="29" t="str">
        <f aca="false">IF(OR($A32="",N(B32)=0),"",SUMIFS(Journal!$T$5:$T$204,Journal!$A$5:$A$204,"&gt;="&amp;$A32,Journal!$A$5:$A$204,"&lt;"&amp;EDATE($A32,1))/B32)</f>
        <v/>
      </c>
    </row>
    <row r="33" customFormat="false" ht="15" hidden="false" customHeight="false" outlineLevel="0" collapsed="false">
      <c r="A33" s="26" t="str">
        <f aca="false">IF(A32="","",IF(EDATE(A32,1)&gt;MAX(Journal!$A$5:$A$204),"",EDATE(A32,1)))</f>
        <v/>
      </c>
      <c r="B33" s="17" t="str">
        <f aca="false">IF($A33="","",COUNTIFS(Journal!$U$5:$U$204,"&gt;-1E+99",Journal!$A$5:$A$204,"&gt;="&amp;$A33,Journal!$A$5:$A$204,"&lt;"&amp;EDATE($A33,1)))</f>
        <v/>
      </c>
      <c r="C33" s="17" t="str">
        <f aca="false">IF($A33="","",COUNTIFS(Journal!$U$5:$U$204,"&gt;0",Journal!$A$5:$A$204,"&gt;="&amp;$A33,Journal!$A$5:$A$204,"&lt;"&amp;EDATE($A33,1)))</f>
        <v/>
      </c>
      <c r="D33" s="27" t="str">
        <f aca="false">IF(OR($A33="",N(B33)=0),"",C33/B33)</f>
        <v/>
      </c>
      <c r="E33" s="28" t="str">
        <f aca="false">IF($A33="","",SUMIFS(Journal!$U$5:$U$204,Journal!$A$5:$A$204,"&gt;="&amp;$A33,Journal!$A$5:$A$204,"&lt;"&amp;EDATE($A33,1)))</f>
        <v/>
      </c>
      <c r="F33" s="29" t="str">
        <f aca="false">IF(OR($A33="",N(B33)=0),"",SUMIFS(Journal!$T$5:$T$204,Journal!$A$5:$A$204,"&gt;="&amp;$A33,Journal!$A$5:$A$204,"&lt;"&amp;EDATE($A33,1))/B33)</f>
        <v/>
      </c>
    </row>
    <row r="34" customFormat="false" ht="15" hidden="false" customHeight="false" outlineLevel="0" collapsed="false">
      <c r="A34" s="26" t="str">
        <f aca="false">IF(A33="","",IF(EDATE(A33,1)&gt;MAX(Journal!$A$5:$A$204),"",EDATE(A33,1)))</f>
        <v/>
      </c>
      <c r="B34" s="17" t="str">
        <f aca="false">IF($A34="","",COUNTIFS(Journal!$U$5:$U$204,"&gt;-1E+99",Journal!$A$5:$A$204,"&gt;="&amp;$A34,Journal!$A$5:$A$204,"&lt;"&amp;EDATE($A34,1)))</f>
        <v/>
      </c>
      <c r="C34" s="17" t="str">
        <f aca="false">IF($A34="","",COUNTIFS(Journal!$U$5:$U$204,"&gt;0",Journal!$A$5:$A$204,"&gt;="&amp;$A34,Journal!$A$5:$A$204,"&lt;"&amp;EDATE($A34,1)))</f>
        <v/>
      </c>
      <c r="D34" s="27" t="str">
        <f aca="false">IF(OR($A34="",N(B34)=0),"",C34/B34)</f>
        <v/>
      </c>
      <c r="E34" s="28" t="str">
        <f aca="false">IF($A34="","",SUMIFS(Journal!$U$5:$U$204,Journal!$A$5:$A$204,"&gt;="&amp;$A34,Journal!$A$5:$A$204,"&lt;"&amp;EDATE($A34,1)))</f>
        <v/>
      </c>
      <c r="F34" s="29" t="str">
        <f aca="false">IF(OR($A34="",N(B34)=0),"",SUMIFS(Journal!$T$5:$T$204,Journal!$A$5:$A$204,"&gt;="&amp;$A34,Journal!$A$5:$A$204,"&lt;"&amp;EDATE($A34,1))/B34)</f>
        <v/>
      </c>
    </row>
    <row r="35" customFormat="false" ht="15" hidden="false" customHeight="false" outlineLevel="0" collapsed="false">
      <c r="A35" s="26" t="str">
        <f aca="false">IF(A34="","",IF(EDATE(A34,1)&gt;MAX(Journal!$A$5:$A$204),"",EDATE(A34,1)))</f>
        <v/>
      </c>
      <c r="B35" s="17" t="str">
        <f aca="false">IF($A35="","",COUNTIFS(Journal!$U$5:$U$204,"&gt;-1E+99",Journal!$A$5:$A$204,"&gt;="&amp;$A35,Journal!$A$5:$A$204,"&lt;"&amp;EDATE($A35,1)))</f>
        <v/>
      </c>
      <c r="C35" s="17" t="str">
        <f aca="false">IF($A35="","",COUNTIFS(Journal!$U$5:$U$204,"&gt;0",Journal!$A$5:$A$204,"&gt;="&amp;$A35,Journal!$A$5:$A$204,"&lt;"&amp;EDATE($A35,1)))</f>
        <v/>
      </c>
      <c r="D35" s="27" t="str">
        <f aca="false">IF(OR($A35="",N(B35)=0),"",C35/B35)</f>
        <v/>
      </c>
      <c r="E35" s="28" t="str">
        <f aca="false">IF($A35="","",SUMIFS(Journal!$U$5:$U$204,Journal!$A$5:$A$204,"&gt;="&amp;$A35,Journal!$A$5:$A$204,"&lt;"&amp;EDATE($A35,1)))</f>
        <v/>
      </c>
      <c r="F35" s="29" t="str">
        <f aca="false">IF(OR($A35="",N(B35)=0),"",SUMIFS(Journal!$T$5:$T$204,Journal!$A$5:$A$204,"&gt;="&amp;$A35,Journal!$A$5:$A$204,"&lt;"&amp;EDATE($A35,1))/B35)</f>
        <v/>
      </c>
    </row>
    <row r="36" customFormat="false" ht="15" hidden="false" customHeight="false" outlineLevel="0" collapsed="false">
      <c r="A36" s="26" t="str">
        <f aca="false">IF(A35="","",IF(EDATE(A35,1)&gt;MAX(Journal!$A$5:$A$204),"",EDATE(A35,1)))</f>
        <v/>
      </c>
      <c r="B36" s="17" t="str">
        <f aca="false">IF($A36="","",COUNTIFS(Journal!$U$5:$U$204,"&gt;-1E+99",Journal!$A$5:$A$204,"&gt;="&amp;$A36,Journal!$A$5:$A$204,"&lt;"&amp;EDATE($A36,1)))</f>
        <v/>
      </c>
      <c r="C36" s="17" t="str">
        <f aca="false">IF($A36="","",COUNTIFS(Journal!$U$5:$U$204,"&gt;0",Journal!$A$5:$A$204,"&gt;="&amp;$A36,Journal!$A$5:$A$204,"&lt;"&amp;EDATE($A36,1)))</f>
        <v/>
      </c>
      <c r="D36" s="27" t="str">
        <f aca="false">IF(OR($A36="",N(B36)=0),"",C36/B36)</f>
        <v/>
      </c>
      <c r="E36" s="28" t="str">
        <f aca="false">IF($A36="","",SUMIFS(Journal!$U$5:$U$204,Journal!$A$5:$A$204,"&gt;="&amp;$A36,Journal!$A$5:$A$204,"&lt;"&amp;EDATE($A36,1)))</f>
        <v/>
      </c>
      <c r="F36" s="29" t="str">
        <f aca="false">IF(OR($A36="",N(B36)=0),"",SUMIFS(Journal!$T$5:$T$204,Journal!$A$5:$A$204,"&gt;="&amp;$A36,Journal!$A$5:$A$204,"&lt;"&amp;EDATE($A36,1))/B36)</f>
        <v/>
      </c>
    </row>
    <row r="37" customFormat="false" ht="15" hidden="false" customHeight="false" outlineLevel="0" collapsed="false">
      <c r="A37" s="26" t="str">
        <f aca="false">IF(A36="","",IF(EDATE(A36,1)&gt;MAX(Journal!$A$5:$A$204),"",EDATE(A36,1)))</f>
        <v/>
      </c>
      <c r="B37" s="17" t="str">
        <f aca="false">IF($A37="","",COUNTIFS(Journal!$U$5:$U$204,"&gt;-1E+99",Journal!$A$5:$A$204,"&gt;="&amp;$A37,Journal!$A$5:$A$204,"&lt;"&amp;EDATE($A37,1)))</f>
        <v/>
      </c>
      <c r="C37" s="17" t="str">
        <f aca="false">IF($A37="","",COUNTIFS(Journal!$U$5:$U$204,"&gt;0",Journal!$A$5:$A$204,"&gt;="&amp;$A37,Journal!$A$5:$A$204,"&lt;"&amp;EDATE($A37,1)))</f>
        <v/>
      </c>
      <c r="D37" s="27" t="str">
        <f aca="false">IF(OR($A37="",N(B37)=0),"",C37/B37)</f>
        <v/>
      </c>
      <c r="E37" s="28" t="str">
        <f aca="false">IF($A37="","",SUMIFS(Journal!$U$5:$U$204,Journal!$A$5:$A$204,"&gt;="&amp;$A37,Journal!$A$5:$A$204,"&lt;"&amp;EDATE($A37,1)))</f>
        <v/>
      </c>
      <c r="F37" s="29" t="str">
        <f aca="false">IF(OR($A37="",N(B37)=0),"",SUMIFS(Journal!$T$5:$T$204,Journal!$A$5:$A$204,"&gt;="&amp;$A37,Journal!$A$5:$A$204,"&lt;"&amp;EDATE($A37,1))/B37)</f>
        <v/>
      </c>
    </row>
    <row r="39" customFormat="false" ht="15" hidden="false" customHeight="false" outlineLevel="0" collapsed="false">
      <c r="A39" s="24" t="s">
        <v>74</v>
      </c>
    </row>
    <row r="40" customFormat="false" ht="15" hidden="false" customHeight="false" outlineLevel="0" collapsed="false">
      <c r="A40" s="25" t="s">
        <v>49</v>
      </c>
      <c r="B40" s="25" t="s">
        <v>72</v>
      </c>
      <c r="C40" s="25" t="s">
        <v>57</v>
      </c>
      <c r="D40" s="25" t="s">
        <v>59</v>
      </c>
      <c r="E40" s="25" t="s">
        <v>44</v>
      </c>
      <c r="F40" s="25" t="s">
        <v>73</v>
      </c>
    </row>
    <row r="41" customFormat="false" ht="15" hidden="false" customHeight="false" outlineLevel="0" collapsed="false">
      <c r="A41" s="30" t="s">
        <v>75</v>
      </c>
      <c r="B41" s="17" t="n">
        <f aca="false">(COUNTIFS(Journal!$U$5:$U$204,"&gt;-1E+99",Journal!$Z$5:$Z$204,1))</f>
        <v>0</v>
      </c>
      <c r="C41" s="17" t="n">
        <f aca="false">(COUNTIFS(Journal!$U$5:$U$204,"&gt;0",Journal!$Z$5:$Z$204,1))</f>
        <v>0</v>
      </c>
      <c r="D41" s="27" t="str">
        <f aca="false">IF(OR($A41="",N(B41)=0),"",C41/B41)</f>
        <v/>
      </c>
      <c r="E41" s="28" t="n">
        <f aca="false">(SUMIFS(Journal!$U$5:$U$204,Journal!$Z$5:$Z$204,1))</f>
        <v>0</v>
      </c>
      <c r="F41" s="29" t="str">
        <f aca="false">IF(OR($A41="",N(B41)=0),"",SUMIFS(Journal!$T$5:$T$204,Journal!$Z$5:$Z$204,1)/B41)</f>
        <v/>
      </c>
    </row>
    <row r="42" customFormat="false" ht="15" hidden="false" customHeight="false" outlineLevel="0" collapsed="false">
      <c r="A42" s="30" t="s">
        <v>76</v>
      </c>
      <c r="B42" s="17" t="n">
        <f aca="false">(COUNTIFS(Journal!$U$5:$U$204,"&gt;-1E+99",Journal!$Z$5:$Z$204,2))</f>
        <v>0</v>
      </c>
      <c r="C42" s="17" t="n">
        <f aca="false">(COUNTIFS(Journal!$U$5:$U$204,"&gt;0",Journal!$Z$5:$Z$204,2))</f>
        <v>0</v>
      </c>
      <c r="D42" s="27" t="str">
        <f aca="false">IF(OR($A42="",N(B42)=0),"",C42/B42)</f>
        <v/>
      </c>
      <c r="E42" s="28" t="n">
        <f aca="false">(SUMIFS(Journal!$U$5:$U$204,Journal!$Z$5:$Z$204,2))</f>
        <v>0</v>
      </c>
      <c r="F42" s="29" t="str">
        <f aca="false">IF(OR($A42="",N(B42)=0),"",SUMIFS(Journal!$T$5:$T$204,Journal!$Z$5:$Z$204,2)/B42)</f>
        <v/>
      </c>
    </row>
    <row r="43" customFormat="false" ht="15" hidden="false" customHeight="false" outlineLevel="0" collapsed="false">
      <c r="A43" s="30" t="s">
        <v>77</v>
      </c>
      <c r="B43" s="17" t="n">
        <f aca="false">(COUNTIFS(Journal!$U$5:$U$204,"&gt;-1E+99",Journal!$Z$5:$Z$204,3))</f>
        <v>0</v>
      </c>
      <c r="C43" s="17" t="n">
        <f aca="false">(COUNTIFS(Journal!$U$5:$U$204,"&gt;0",Journal!$Z$5:$Z$204,3))</f>
        <v>0</v>
      </c>
      <c r="D43" s="27" t="str">
        <f aca="false">IF(OR($A43="",N(B43)=0),"",C43/B43)</f>
        <v/>
      </c>
      <c r="E43" s="28" t="n">
        <f aca="false">(SUMIFS(Journal!$U$5:$U$204,Journal!$Z$5:$Z$204,3))</f>
        <v>0</v>
      </c>
      <c r="F43" s="29" t="str">
        <f aca="false">IF(OR($A43="",N(B43)=0),"",SUMIFS(Journal!$T$5:$T$204,Journal!$Z$5:$Z$204,3)/B43)</f>
        <v/>
      </c>
    </row>
    <row r="44" customFormat="false" ht="15" hidden="false" customHeight="false" outlineLevel="0" collapsed="false">
      <c r="A44" s="30" t="s">
        <v>78</v>
      </c>
      <c r="B44" s="17" t="n">
        <f aca="false">(COUNTIFS(Journal!$U$5:$U$204,"&gt;-1E+99",Journal!$Z$5:$Z$204,4))</f>
        <v>0</v>
      </c>
      <c r="C44" s="17" t="n">
        <f aca="false">(COUNTIFS(Journal!$U$5:$U$204,"&gt;0",Journal!$Z$5:$Z$204,4))</f>
        <v>0</v>
      </c>
      <c r="D44" s="27" t="str">
        <f aca="false">IF(OR($A44="",N(B44)=0),"",C44/B44)</f>
        <v/>
      </c>
      <c r="E44" s="28" t="n">
        <f aca="false">(SUMIFS(Journal!$U$5:$U$204,Journal!$Z$5:$Z$204,4))</f>
        <v>0</v>
      </c>
      <c r="F44" s="29" t="str">
        <f aca="false">IF(OR($A44="",N(B44)=0),"",SUMIFS(Journal!$T$5:$T$204,Journal!$Z$5:$Z$204,4)/B44)</f>
        <v/>
      </c>
    </row>
    <row r="45" customFormat="false" ht="15" hidden="false" customHeight="false" outlineLevel="0" collapsed="false">
      <c r="A45" s="30" t="s">
        <v>79</v>
      </c>
      <c r="B45" s="17" t="n">
        <f aca="false">(COUNTIFS(Journal!$U$5:$U$204,"&gt;-1E+99",Journal!$Z$5:$Z$204,5))</f>
        <v>0</v>
      </c>
      <c r="C45" s="17" t="n">
        <f aca="false">(COUNTIFS(Journal!$U$5:$U$204,"&gt;0",Journal!$Z$5:$Z$204,5))</f>
        <v>0</v>
      </c>
      <c r="D45" s="27" t="str">
        <f aca="false">IF(OR($A45="",N(B45)=0),"",C45/B45)</f>
        <v/>
      </c>
      <c r="E45" s="28" t="n">
        <f aca="false">(SUMIFS(Journal!$U$5:$U$204,Journal!$Z$5:$Z$204,5))</f>
        <v>0</v>
      </c>
      <c r="F45" s="29" t="str">
        <f aca="false">IF(OR($A45="",N(B45)=0),"",SUMIFS(Journal!$T$5:$T$204,Journal!$Z$5:$Z$204,5)/B45)</f>
        <v/>
      </c>
    </row>
    <row r="47" customFormat="false" ht="15" hidden="false" customHeight="false" outlineLevel="0" collapsed="false">
      <c r="A47" s="24" t="s">
        <v>80</v>
      </c>
    </row>
    <row r="48" customFormat="false" ht="15" hidden="false" customHeight="false" outlineLevel="0" collapsed="false">
      <c r="A48" s="25" t="s">
        <v>36</v>
      </c>
      <c r="B48" s="25" t="s">
        <v>72</v>
      </c>
      <c r="C48" s="25" t="s">
        <v>57</v>
      </c>
      <c r="D48" s="25" t="s">
        <v>59</v>
      </c>
      <c r="E48" s="25" t="s">
        <v>44</v>
      </c>
      <c r="F48" s="25" t="s">
        <v>73</v>
      </c>
    </row>
    <row r="49" customFormat="false" ht="15" hidden="false" customHeight="false" outlineLevel="0" collapsed="false">
      <c r="A49" s="30" t="s">
        <v>81</v>
      </c>
      <c r="B49" s="17" t="n">
        <f aca="false">(COUNTIFS(Journal!$U$5:$U$204,"&gt;-1E+99",Journal!$M$5:$M$204,"Long"))</f>
        <v>0</v>
      </c>
      <c r="C49" s="17" t="n">
        <f aca="false">(COUNTIFS(Journal!$U$5:$U$204,"&gt;0",Journal!$M$5:$M$204,"Long"))</f>
        <v>0</v>
      </c>
      <c r="D49" s="27" t="str">
        <f aca="false">IF(OR($A49="",N(B49)=0),"",C49/B49)</f>
        <v/>
      </c>
      <c r="E49" s="28" t="n">
        <f aca="false">(SUMIFS(Journal!$U$5:$U$204,Journal!$M$5:$M$204,"Long"))</f>
        <v>0</v>
      </c>
      <c r="F49" s="29" t="str">
        <f aca="false">IF(OR($A49="",N(B49)=0),"",SUMIFS(Journal!$T$5:$T$204,Journal!$M$5:$M$204,"Long")/B49)</f>
        <v/>
      </c>
    </row>
    <row r="50" customFormat="false" ht="15" hidden="false" customHeight="false" outlineLevel="0" collapsed="false">
      <c r="A50" s="30" t="s">
        <v>82</v>
      </c>
      <c r="B50" s="17" t="n">
        <f aca="false">(COUNTIFS(Journal!$U$5:$U$204,"&gt;-1E+99",Journal!$M$5:$M$204,"Short"))</f>
        <v>0</v>
      </c>
      <c r="C50" s="17" t="n">
        <f aca="false">(COUNTIFS(Journal!$U$5:$U$204,"&gt;0",Journal!$M$5:$M$204,"Short"))</f>
        <v>0</v>
      </c>
      <c r="D50" s="27" t="str">
        <f aca="false">IF(OR($A50="",N(B50)=0),"",C50/B50)</f>
        <v/>
      </c>
      <c r="E50" s="28" t="n">
        <f aca="false">(SUMIFS(Journal!$U$5:$U$204,Journal!$M$5:$M$204,"Short"))</f>
        <v>0</v>
      </c>
      <c r="F50" s="29" t="str">
        <f aca="false">IF(OR($A50="",N(B50)=0),"",SUMIFS(Journal!$T$5:$T$204,Journal!$M$5:$M$204,"Short")/B50)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70"/>
  </cols>
  <sheetData>
    <row r="1" customFormat="false" ht="17.35" hidden="false" customHeight="false" outlineLevel="0" collapsed="false">
      <c r="A1" s="4" t="s">
        <v>83</v>
      </c>
    </row>
    <row r="2" customFormat="false" ht="15" hidden="false" customHeight="false" outlineLevel="0" collapsed="false">
      <c r="A2" s="5" t="s">
        <v>84</v>
      </c>
    </row>
    <row r="4" customFormat="false" ht="15" hidden="false" customHeight="false" outlineLevel="0" collapsed="false">
      <c r="A4" s="17" t="s">
        <v>85</v>
      </c>
      <c r="B4" s="31" t="n">
        <v>0.002</v>
      </c>
      <c r="C4" s="32" t="s">
        <v>86</v>
      </c>
    </row>
    <row r="5" customFormat="false" ht="15" hidden="false" customHeight="false" outlineLevel="0" collapsed="false">
      <c r="A5" s="17" t="s">
        <v>87</v>
      </c>
      <c r="B5" s="33" t="n">
        <v>2</v>
      </c>
      <c r="C5" s="32" t="s">
        <v>88</v>
      </c>
    </row>
    <row r="6" customFormat="false" ht="15" hidden="false" customHeight="false" outlineLevel="0" collapsed="false">
      <c r="A6" s="17" t="s">
        <v>89</v>
      </c>
      <c r="B6" s="34" t="n">
        <v>20</v>
      </c>
      <c r="C6" s="32" t="s">
        <v>90</v>
      </c>
    </row>
    <row r="7" customFormat="false" ht="15" hidden="false" customHeight="false" outlineLevel="0" collapsed="false">
      <c r="A7" s="17" t="s">
        <v>91</v>
      </c>
      <c r="B7" s="35" t="n">
        <v>1</v>
      </c>
      <c r="C7" s="32"/>
    </row>
    <row r="8" customFormat="false" ht="15" hidden="false" customHeight="false" outlineLevel="0" collapsed="false">
      <c r="A8" s="17" t="s">
        <v>92</v>
      </c>
      <c r="B8" s="34" t="n">
        <v>4</v>
      </c>
      <c r="C8" s="32" t="s">
        <v>93</v>
      </c>
    </row>
    <row r="9" customFormat="false" ht="15" hidden="false" customHeight="false" outlineLevel="0" collapsed="false">
      <c r="A9" s="17" t="s">
        <v>94</v>
      </c>
      <c r="B9" s="36" t="n">
        <v>0.25</v>
      </c>
      <c r="C9" s="32" t="s">
        <v>95</v>
      </c>
    </row>
    <row r="11" customFormat="false" ht="15" hidden="false" customHeight="false" outlineLevel="0" collapsed="false">
      <c r="A11" s="5"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2026-10-22T21:28:33Z</dcterms:created>
  <dc:creator>openpyxl</dc:creator>
  <dc:description/>
  <dc:language>en-US</dc:language>
  <cp:lastModifiedBy/>
  <dcterms:modified xsi:type="dcterms:W3CDTF">2026-10-22T21:28:33Z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